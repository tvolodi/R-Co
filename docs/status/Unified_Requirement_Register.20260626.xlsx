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Requirements" sheetId="2" state="visible" r:id="rId4"/>
    <sheet name="Action Items" sheetId="3" state="visible" r:id="rId5"/>
  </sheets>
  <definedNames>
    <definedName function="false" hidden="true" localSheetId="1" name="_xlnm._FilterDatabase" vbProcedure="false">'All Requirements'!$A$1:$G$316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<sst xmlns="http://schemas.openxmlformats.org/spreadsheetml/2006/main" count="2110" uniqueCount="996">
  <si>
    <t xml:space="preserve">BPM Platform — Unified Requirement Register</t>
  </si>
  <si>
    <t xml:space="preserve">Source: docs/status/requirement_status.yaml (2026-06-14) + release records (EXP-3xx/4xx/601) + addon-2 borrowing backlog</t>
  </si>
  <si>
    <t xml:space="preserve">Generated 2026-06-26. Status legend below. "All Requirements" sheet is the full list sorted by implementation order.</t>
  </si>
  <si>
    <t xml:space="preserve">HEADLINE</t>
  </si>
  <si>
    <t xml:space="preserve">Existing scope is essentially complete: of 315 tracked requirements, 307 are RELEASED. Only 8 remain open — all in the</t>
  </si>
  <si>
    <t xml:space="preserve">Schema-Per-Tenant Migration / Epic 5 cutover (implemented or tested, awaiting final release back-fill) plus ISS-202.</t>
  </si>
  <si>
    <t xml:space="preserve">The borrowing backlog (BRW-*, 20 items) is net-new; most backend borrows are already shipped under EXP-* (see notes).</t>
  </si>
  <si>
    <t xml:space="preserve">STATUS (tracked requirements)</t>
  </si>
  <si>
    <t xml:space="preserve">LEGEND</t>
  </si>
  <si>
    <t xml:space="preserve">RELEASED</t>
  </si>
  <si>
    <t xml:space="preserve">Merged to main, tested, released</t>
  </si>
  <si>
    <t xml:space="preserve">IMPLEMENTED</t>
  </si>
  <si>
    <t xml:space="preserve">TESTED</t>
  </si>
  <si>
    <t xml:space="preserve">Tests pass; not yet released</t>
  </si>
  <si>
    <t xml:space="preserve">Code complete; tests/release pending</t>
  </si>
  <si>
    <t xml:space="preserve">PENDING</t>
  </si>
  <si>
    <t xml:space="preserve">Not yet implemented</t>
  </si>
  <si>
    <t xml:space="preserve">TOTAL</t>
  </si>
  <si>
    <t xml:space="preserve">VERIFY</t>
  </si>
  <si>
    <t xml:space="preserve">Borrow: confirm current state before building</t>
  </si>
  <si>
    <t xml:space="preserve">LIKELY/MOSTLY DONE</t>
  </si>
  <si>
    <t xml:space="preserve">Borrow likely satisfied by shipped EXP-*</t>
  </si>
  <si>
    <t xml:space="preserve">OPEN ITEMS (not released) — see "Action Items" sheet</t>
  </si>
  <si>
    <t xml:space="preserve">NOT STARTED</t>
  </si>
  <si>
    <t xml:space="preserve">Borrow: net-new work</t>
  </si>
  <si>
    <t xml:space="preserve">ISS-501</t>
  </si>
  <si>
    <t xml:space="preserve">Resolve read/write authority from storage_mode</t>
  </si>
  <si>
    <t xml:space="preserve">ISS-502</t>
  </si>
  <si>
    <t xml:space="preserve">SPT cutover transaction flips storage_mode after verified copy</t>
  </si>
  <si>
    <t xml:space="preserve">ISS-503</t>
  </si>
  <si>
    <t xml:space="preserve">Remove legacy tenant_id/RLS predicates (SPT-03)</t>
  </si>
  <si>
    <t xml:space="preserve">ISS-504</t>
  </si>
  <si>
    <t xml:space="preserve">Reconcile schema + per-tenant migration tracking (SPT-04)</t>
  </si>
  <si>
    <t xml:space="preserve">ISS-202</t>
  </si>
  <si>
    <t xml:space="preserve">Two-phase all-or-nothing variable merge</t>
  </si>
  <si>
    <t xml:space="preserve">SPT-02</t>
  </si>
  <si>
    <t xml:space="preserve">Data migration — copy rows into tenant schemas and remove RLS</t>
  </si>
  <si>
    <t xml:space="preserve">SPT-03</t>
  </si>
  <si>
    <t xml:space="preserve">Remove legacy bpm.tenant_id session variable and tenant_id predicates</t>
  </si>
  <si>
    <t xml:space="preserve">SPT-04</t>
  </si>
  <si>
    <t xml:space="preserve">Test suite update and ADP-12 regression</t>
  </si>
  <si>
    <t xml:space="preserve">#</t>
  </si>
  <si>
    <t xml:space="preserve">Stage</t>
  </si>
  <si>
    <t xml:space="preserve">ID</t>
  </si>
  <si>
    <t xml:space="preserve">Title</t>
  </si>
  <si>
    <t xml:space="preserve">Priority</t>
  </si>
  <si>
    <t xml:space="preserve">Status</t>
  </si>
  <si>
    <t xml:space="preserve">Implemented In</t>
  </si>
  <si>
    <t xml:space="preserve">1</t>
  </si>
  <si>
    <t xml:space="preserve">DB-01</t>
  </si>
  <si>
    <t xml:space="preserve">Schema initialisation</t>
  </si>
  <si>
    <t xml:space="preserve">MUST</t>
  </si>
  <si>
    <t xml:space="preserve">src/db/migrations.zig</t>
  </si>
  <si>
    <t xml:space="preserve">DB-02</t>
  </si>
  <si>
    <t xml:space="preserve">Connection pooling</t>
  </si>
  <si>
    <t xml:space="preserve">src/db/pool.zig</t>
  </si>
  <si>
    <t xml:space="preserve">DB-03</t>
  </si>
  <si>
    <t xml:space="preserve">Transactional integrity</t>
  </si>
  <si>
    <t xml:space="preserve">src/db/pool.zig; src/db/migrations.zig</t>
  </si>
  <si>
    <t xml:space="preserve">DB-04</t>
  </si>
  <si>
    <t xml:space="preserve">Health check query</t>
  </si>
  <si>
    <t xml:space="preserve">ES-01</t>
  </si>
  <si>
    <t xml:space="preserve">Append event</t>
  </si>
  <si>
    <t xml:space="preserve">src/event_store/store.zig</t>
  </si>
  <si>
    <t xml:space="preserve">ES-02</t>
  </si>
  <si>
    <t xml:space="preserve">Ordered read</t>
  </si>
  <si>
    <t xml:space="preserve">ES-03</t>
  </si>
  <si>
    <t xml:space="preserve">Event idempotency</t>
  </si>
  <si>
    <t xml:space="preserve">ES-04</t>
  </si>
  <si>
    <t xml:space="preserve">Global event stream</t>
  </si>
  <si>
    <t xml:space="preserve">ES-05</t>
  </si>
  <si>
    <t xml:space="preserve">Event type registry</t>
  </si>
  <si>
    <t xml:space="preserve">src/event_store/registry.zig</t>
  </si>
  <si>
    <t xml:space="preserve">ES-06</t>
  </si>
  <si>
    <t xml:space="preserve">Point-in-time query</t>
  </si>
  <si>
    <t xml:space="preserve">ES-07</t>
  </si>
  <si>
    <t xml:space="preserve">Retention policy</t>
  </si>
  <si>
    <t xml:space="preserve">SHOULD</t>
  </si>
  <si>
    <t xml:space="preserve">ES-08</t>
  </si>
  <si>
    <t xml:space="preserve">Event metadata</t>
  </si>
  <si>
    <t xml:space="preserve">2</t>
  </si>
  <si>
    <t xml:space="preserve">PD-01</t>
  </si>
  <si>
    <t xml:space="preserve">Create definition</t>
  </si>
  <si>
    <t xml:space="preserve">src/definition/graph.zig; src/definition/store.zig</t>
  </si>
  <si>
    <t xml:space="preserve">PD-02</t>
  </si>
  <si>
    <t xml:space="preserve">Graph validation</t>
  </si>
  <si>
    <t xml:space="preserve">PD-03</t>
  </si>
  <si>
    <t xml:space="preserve">Version management</t>
  </si>
  <si>
    <t xml:space="preserve">src/definition/store.zig</t>
  </si>
  <si>
    <t xml:space="preserve">PD-04</t>
  </si>
  <si>
    <t xml:space="preserve">Definition lifecycle</t>
  </si>
  <si>
    <t xml:space="preserve">src/definition/store.zig; src/api/routes/definitions.zig</t>
  </si>
  <si>
    <t xml:space="preserve">PD-05</t>
  </si>
  <si>
    <t xml:space="preserve">Node types</t>
  </si>
  <si>
    <t xml:space="preserve">src/definition/graph.zig</t>
  </si>
  <si>
    <t xml:space="preserve">PD-06</t>
  </si>
  <si>
    <t xml:space="preserve">Edge conditions</t>
  </si>
  <si>
    <t xml:space="preserve">PD-07</t>
  </si>
  <si>
    <t xml:space="preserve">Definition retrieval</t>
  </si>
  <si>
    <t xml:space="preserve">src/definition/store.zig; src/api/routes/definitions.zig; migrations/014_definition_stage.sql</t>
  </si>
  <si>
    <t xml:space="preserve">PD-08</t>
  </si>
  <si>
    <t xml:space="preserve">Definition snapshot</t>
  </si>
  <si>
    <t xml:space="preserve">src/definition/snapshot.zig</t>
  </si>
  <si>
    <t xml:space="preserve">PD-09</t>
  </si>
  <si>
    <t xml:space="preserve">Definition import/export</t>
  </si>
  <si>
    <t xml:space="preserve">src/definition/export_import.zig; src/api/routes/definitions.zig</t>
  </si>
  <si>
    <t xml:space="preserve">PD-10</t>
  </si>
  <si>
    <t xml:space="preserve">Definition search</t>
  </si>
  <si>
    <t xml:space="preserve">COULD</t>
  </si>
  <si>
    <t xml:space="preserve">3</t>
  </si>
  <si>
    <t xml:space="preserve">EE-01</t>
  </si>
  <si>
    <t xml:space="preserve">Start instance</t>
  </si>
  <si>
    <t xml:space="preserve">src/definition/snapshot.zig; src/definition/store.zig; migrations/005_instances.sql; src/engine/instance.zig; src/api/routes/instances.zig; tests/integration/ee01_start_instance_test.zig</t>
  </si>
  <si>
    <t xml:space="preserve">EE-02</t>
  </si>
  <si>
    <t xml:space="preserve">Pure transition function</t>
  </si>
  <si>
    <t xml:space="preserve">src/engine/transition.zig; src/main.zig; tests/unit/engine_test.zig</t>
  </si>
  <si>
    <t xml:space="preserve">EE-03</t>
  </si>
  <si>
    <t xml:space="preserve">Task activation</t>
  </si>
  <si>
    <t xml:space="preserve">src/engine/transition.zig; src/engine/instance.zig; migrations/005_instances.sql; src/tasks/store.zig; src/api/routes/tasks.zig; src/main.zig; src/bpm.zig; tests/unit/test_engine_apply.zig; tests/unit/test_tasks_store.zig; tests/unit/test_tasks_api.zig</t>
  </si>
  <si>
    <t xml:space="preserve">EE-04</t>
  </si>
  <si>
    <t xml:space="preserve">Complete task</t>
  </si>
  <si>
    <t xml:space="preserve">src/tasks/store.zig; src/engine/instance.zig; src/api/routes/tasks.zig</t>
  </si>
  <si>
    <t xml:space="preserve">EE-05</t>
  </si>
  <si>
    <t xml:space="preserve">Exclusive gateway</t>
  </si>
  <si>
    <t xml:space="preserve">src/engine/transition.zig; vendor/cel/cel.zig</t>
  </si>
  <si>
    <t xml:space="preserve">EE-06</t>
  </si>
  <si>
    <t xml:space="preserve">Parallel gateway (split)</t>
  </si>
  <si>
    <t xml:space="preserve">src/engine/transition.zig</t>
  </si>
  <si>
    <t xml:space="preserve">EE-07</t>
  </si>
  <si>
    <t xml:space="preserve">Parallel gateway (join)</t>
  </si>
  <si>
    <t xml:space="preserve">EE-08</t>
  </si>
  <si>
    <t xml:space="preserve">Instance cancellation</t>
  </si>
  <si>
    <t xml:space="preserve">src/engine/instance.zig</t>
  </si>
  <si>
    <t xml:space="preserve">EE-09</t>
  </si>
  <si>
    <t xml:space="preserve">Variable scoping</t>
  </si>
  <si>
    <t xml:space="preserve">src/engine/transition.zig; src/engine/instance.zig; src/bpm.zig; src/tools/json_schema.zig; src/api/routes/tasks.zig; tests/unit/test_ee09_merge_variables.zig; tests/integration/ee09_merge_variables_test.zig; build.zig</t>
  </si>
  <si>
    <t xml:space="preserve">EE-10</t>
  </si>
  <si>
    <t xml:space="preserve">Execution error handling</t>
  </si>
  <si>
    <t xml:space="preserve">EE-11</t>
  </si>
  <si>
    <t xml:space="preserve">State reconstruction</t>
  </si>
  <si>
    <t xml:space="preserve">src/engine/transition.zig; src/engine/instance.zig; src/event_store/store.zig; src/bpm.zig; migrations/003_event_archive.sql; src/engine/reconstruction.zig; src/api/routes/instances.zig; src/main.zig; tests/unit/reconstruction_test.zig</t>
  </si>
  <si>
    <t xml:space="preserve">EE-12</t>
  </si>
  <si>
    <t xml:space="preserve">Concurrent instance safety</t>
  </si>
  <si>
    <t xml:space="preserve">src/engine/instance.zig; src/api/routes/tasks.zig</t>
  </si>
  <si>
    <t xml:space="preserve">4</t>
  </si>
  <si>
    <t xml:space="preserve">API-01</t>
  </si>
  <si>
    <t xml:space="preserve">REST conventions</t>
  </si>
  <si>
    <t xml:space="preserve">src/api/errors.zig; src/api/middleware/content_type.zig; src/api/response.zig</t>
  </si>
  <si>
    <t xml:space="preserve">API-02</t>
  </si>
  <si>
    <t xml:space="preserve">Process definition CRUD</t>
  </si>
  <si>
    <t xml:space="preserve">src/api/routes/definitions.zig</t>
  </si>
  <si>
    <t xml:space="preserve">API-03</t>
  </si>
  <si>
    <t xml:space="preserve">Instance management</t>
  </si>
  <si>
    <t xml:space="preserve">src/api/routes/instances.zig; src/instance/store.zig</t>
  </si>
  <si>
    <t xml:space="preserve">API-04</t>
  </si>
  <si>
    <t xml:space="preserve">Task operations</t>
  </si>
  <si>
    <t xml:space="preserve">src/api/routes/tasks.zig</t>
  </si>
  <si>
    <t xml:space="preserve">API-05</t>
  </si>
  <si>
    <t xml:space="preserve">History endpoint</t>
  </si>
  <si>
    <t xml:space="preserve">src/api/routes/instances.zig; src/event_store/store.zig</t>
  </si>
  <si>
    <t xml:space="preserve">API-06</t>
  </si>
  <si>
    <t xml:space="preserve">Pagination</t>
  </si>
  <si>
    <t xml:space="preserve">src/api/pagination.zig</t>
  </si>
  <si>
    <t xml:space="preserve">API-07</t>
  </si>
  <si>
    <t xml:space="preserve">Input validation</t>
  </si>
  <si>
    <t xml:space="preserve">src/api/validation.zig; src/api/middleware/validate.zig</t>
  </si>
  <si>
    <t xml:space="preserve">API-08</t>
  </si>
  <si>
    <t xml:space="preserve">Bearer token auth</t>
  </si>
  <si>
    <t xml:space="preserve">src/api/middleware/auth.zig; src/api/errors.zig</t>
  </si>
  <si>
    <t xml:space="preserve">API-09</t>
  </si>
  <si>
    <t xml:space="preserve">Request tracing</t>
  </si>
  <si>
    <t xml:space="preserve">src/api/middleware/trace.zig; src/api/trace_context.zig; src/obs/logger.zig; src/api/errors.zig</t>
  </si>
  <si>
    <t xml:space="preserve">API-10</t>
  </si>
  <si>
    <t xml:space="preserve">Rate limiting</t>
  </si>
  <si>
    <t xml:space="preserve">src/api/middleware/rate_limit.zig; src/api/middleware/auth.zig; src/api/errors.zig; src/main.zig; src/api/api_mod.zig</t>
  </si>
  <si>
    <t xml:space="preserve">API-11</t>
  </si>
  <si>
    <t xml:space="preserve">OpenAPI specification</t>
  </si>
  <si>
    <t xml:space="preserve">src/api/openapi/mod.zig; src/api/openapi/model.zig; src/api/openapi/path_registry.zig; src/api/openapi/schema_registry.zig; src/api/openapi/version_source.zig; src/api/openapi/builder.zig; src/api/openapi/serialize.zig; src/api/routes/openapi.zig; src/api/api_mod.zig; src/main.zig; src/tools/openapi_gen.zig; build.zig</t>
  </si>
  <si>
    <t xml:space="preserve">API-12</t>
  </si>
  <si>
    <t xml:space="preserve">Health endpoints</t>
  </si>
  <si>
    <t xml:space="preserve">src/api/routes/health.zig; src/api/health/readiness.zig; src/api/health/subsystems.zig; src/api/openapi/builder.zig; src/api/routes/openapi.zig; src/main.zig</t>
  </si>
  <si>
    <t xml:space="preserve">5</t>
  </si>
  <si>
    <t xml:space="preserve">IDN-01</t>
  </si>
  <si>
    <t xml:space="preserve">User registry</t>
  </si>
  <si>
    <t xml:space="preserve">src/identity/registry.zig; src/identity/service.zig; src/api/routes/identity.zig; src/api/middleware/auth.zig; src/main.zig; migrations/017_identity_user_registry.sql</t>
  </si>
  <si>
    <t xml:space="preserve">IDN-02</t>
  </si>
  <si>
    <t xml:space="preserve">Group management</t>
  </si>
  <si>
    <t xml:space="preserve">src/identity/registry.zig; src/identity/service.zig; src/api/routes/identity.zig; src/api/routes/tasks.zig; migrations/018_identity_group_members.sql</t>
  </si>
  <si>
    <t xml:space="preserve">IDN-03</t>
  </si>
  <si>
    <t xml:space="preserve">Role-based access</t>
  </si>
  <si>
    <t xml:space="preserve">src/api/authorization.zig; src/api/routes/tasks.zig; src/tasks/store.zig</t>
  </si>
  <si>
    <t xml:space="preserve">IDN-04</t>
  </si>
  <si>
    <t xml:space="preserve">API token management</t>
  </si>
  <si>
    <t xml:space="preserve">src/identity/service.zig; src/api/routes/identity.zig; src/api/middleware/auth.zig; migrations/019_idn04_api_token_management.sql</t>
  </si>
  <si>
    <t xml:space="preserve">SCH-01</t>
  </si>
  <si>
    <t xml:space="preserve">Durable timer creation</t>
  </si>
  <si>
    <t xml:space="preserve">src/scheduler/store.zig; src/engine/transition.zig; src/engine/instance.zig; migrations/015_timers_status_constraint.sql; tests/bench/bench.zig</t>
  </si>
  <si>
    <t xml:space="preserve">SCH-02</t>
  </si>
  <si>
    <t xml:space="preserve">Timer polling</t>
  </si>
  <si>
    <t xml:space="preserve">src/design/scheduler.md; src/scheduler/scheduler.zig</t>
  </si>
  <si>
    <t xml:space="preserve">SCH-03</t>
  </si>
  <si>
    <t xml:space="preserve">Timer cancellation</t>
  </si>
  <si>
    <t xml:space="preserve">src/engine/instance.zig; tests/integration/sch02_timer_polling_test.zig</t>
  </si>
  <si>
    <t xml:space="preserve">SCH-04</t>
  </si>
  <si>
    <t xml:space="preserve">Escalation timer</t>
  </si>
  <si>
    <t xml:space="preserve">src/scheduler/store.zig; src/tasks/store.zig; src/engine/instance.zig; src/scheduler/scheduler.zig; tests/integration/sch02_timer_polling_test.zig</t>
  </si>
  <si>
    <t xml:space="preserve">SCH-05</t>
  </si>
  <si>
    <t xml:space="preserve">Missed timer recovery</t>
  </si>
  <si>
    <t xml:space="preserve">src/scheduler/scheduler.zig</t>
  </si>
  <si>
    <t xml:space="preserve">SCH-06</t>
  </si>
  <si>
    <t xml:space="preserve">Timer jitter</t>
  </si>
  <si>
    <t xml:space="preserve">SCH-07</t>
  </si>
  <si>
    <t xml:space="preserve">Recurring timers</t>
  </si>
  <si>
    <t xml:space="preserve">src/scheduler/recurrence.zig; src/scheduler/scheduler.zig; src/scheduler/store.zig; src/engine/instance.zig; migrations/016_timer_recurrence_fields.sql</t>
  </si>
  <si>
    <t xml:space="preserve">6</t>
  </si>
  <si>
    <t xml:space="preserve">EXT-01</t>
  </si>
  <si>
    <t xml:space="preserve">Service task node type</t>
  </si>
  <si>
    <t xml:space="preserve">src/definition/graph.zig; tests/unit/graph_node_attributes_test.zig; src/engine/service_task.zig; tests/unit/service_task_test.zig; src/bpm.zig; build.zig; tests/integration/ext01_service_task_test.zig; tests/integration/main_test.zig; tests/integration/obs05_dlq_test.zig</t>
  </si>
  <si>
    <t xml:space="preserve">EXT-02</t>
  </si>
  <si>
    <t xml:space="preserve">Webhook event dispatch</t>
  </si>
  <si>
    <t xml:space="preserve">src/webhook/subscription_store.zig; src/webhook/dispatcher.zig; src/webhook/signing.zig; src/api/routes/webhooks.zig</t>
  </si>
  <si>
    <t xml:space="preserve">EXT-03</t>
  </si>
  <si>
    <t xml:space="preserve">Plugin interface</t>
  </si>
  <si>
    <t xml:space="preserve">src/engine/plugin_interface.zig; src/engine/plugin_registry.zig; src/engine/instance.zig; src/bpm.zig; tests/unit/ext03_plugin_test.zig; build.zig; tests/integration/ext03_plugin_integration_test.zig; tests/integration/main_test.zig</t>
  </si>
  <si>
    <t xml:space="preserve">EXT-04</t>
  </si>
  <si>
    <t xml:space="preserve">Variable transformer</t>
  </si>
  <si>
    <t xml:space="preserve">src/engine/plugin_interface.zig; src/engine/plugin_registry.zig; src/definition/graph.zig; src/definition/store.zig; src/definition/export_import.zig; src/definition/snapshot.zig; src/api/routes/definitions.zig; src/engine/transition.zig; src/engine/instance.zig; tests/unit/graph_edge_conditions_test.zig; tests/unit/test_engine_ee05.zig; tests/integration/ext04_variable_transformer_test.zig; tests/integration/main_test.zig</t>
  </si>
  <si>
    <t xml:space="preserve">EXT-05</t>
  </si>
  <si>
    <t xml:space="preserve">Sub-process support</t>
  </si>
  <si>
    <t xml:space="preserve">src/engine/instance.zig; src/engine/transition.zig; src/definition/graph.zig; migrations/026_ext05_subprocess_links.sql; tests/unit/graph_node_attributes_test.zig; tests/integration/ext05_sub_process_support_test.zig; tests/integration/main_test.zig</t>
  </si>
  <si>
    <t xml:space="preserve">OBS-01</t>
  </si>
  <si>
    <t xml:space="preserve">Structured logging</t>
  </si>
  <si>
    <t xml:space="preserve">src/obs/logger.zig; src/config.zig; src/main.zig; src/api/routes/health.zig; src/scheduler/scheduler.zig</t>
  </si>
  <si>
    <t xml:space="preserve">OBS-02</t>
  </si>
  <si>
    <t xml:space="preserve">Prometheus metrics</t>
  </si>
  <si>
    <t xml:space="preserve">src/obs/metrics.zig; src/api/routes/metrics.zig; src/db/pool.zig; src/event_store/store.zig; src/engine/instance.zig</t>
  </si>
  <si>
    <t xml:space="preserve">OBS-03</t>
  </si>
  <si>
    <t xml:space="preserve">Audit log</t>
  </si>
  <si>
    <t xml:space="preserve">migrations/020_obs03_audit_entries.sql; src/obs/audit.zig; src/api/routes/audit.zig; src/main.zig; src/bpm.zig; tests/integration/obs03_audit_log_test.zig; tests/integration/main_test.zig; build.zig</t>
  </si>
  <si>
    <t xml:space="preserve">OBS-04</t>
  </si>
  <si>
    <t xml:space="preserve">Instance timeline view</t>
  </si>
  <si>
    <t xml:space="preserve">src/obs/timeline.zig; src/api/routes/instances.zig; src/api/authorization.zig; src/api/openapi/builder.zig; tests/unit/test_obs04_timeline.zig; build.zig; web/src/types/api.ts; web/src/api/instances.ts; web/src/hooks/useInstances.ts; web/src/pages/instances/InstanceDetailPage.tsx; web/src/pages/instances/timelineUtils.ts; web/src/pages/instances/timelineUtils.test.ts; web/src/api/identity.ts; tests/integration/obs04_timeline_test.zig; tests/integration/main_test.zig; src/main.zig; web/tests/e2e/obs04.timeline.e2e.spec.ts</t>
  </si>
  <si>
    <t xml:space="preserve">OBS-05</t>
  </si>
  <si>
    <t xml:space="preserve">Dead letter queue</t>
  </si>
  <si>
    <t xml:space="preserve">src/dlq/store.zig; src/api/routes/dlq.zig; src/bpm.zig; src/main.zig; migrations/021_obs05_dead_letter_context.sql; tests/integration/obs05_dlq_test.zig; tests/integration/main_test.zig</t>
  </si>
  <si>
    <t xml:space="preserve">OBS-06</t>
  </si>
  <si>
    <t xml:space="preserve">Alerting hooks</t>
  </si>
  <si>
    <t xml:space="preserve">src/obs/alerts.zig; src/main.zig; src/bpm.zig; migrations/022_obs06_alerting_state.sql; tests/integration/obs06_alerts_test.zig; tests/integration/main_test.zig</t>
  </si>
  <si>
    <t xml:space="preserve">6.5</t>
  </si>
  <si>
    <t xml:space="preserve">ADP-01</t>
  </si>
  <si>
    <t xml:space="preserve">Tenant Column on Event Store</t>
  </si>
  <si>
    <t xml:space="preserve">src/event_store/store.zig; src/obs/timeline.zig; migrations/027_adp01_event_store_tenant.sql; tests/integration/event_store_integration_test.zig</t>
  </si>
  <si>
    <t xml:space="preserve">ADP-02</t>
  </si>
  <si>
    <t xml:space="preserve">Tenant column on definition, instance, and audit tables</t>
  </si>
  <si>
    <t xml:space="preserve">migrations/028_adp02_tenant_scope_persistence.sql; src/definition/store.zig; src/definition/snapshot.zig; src/definition/export_import.zig; src/engine/instance.zig; src/obs/audit.zig; tests/integration/adp02_tenant_scope_test.zig</t>
  </si>
  <si>
    <t xml:space="preserve">ADP-03</t>
  </si>
  <si>
    <t xml:space="preserve">Tenant context resolution on API</t>
  </si>
  <si>
    <t xml:space="preserve">tests/integration/adp03_tenant_context_resolution_test.zig</t>
  </si>
  <si>
    <t xml:space="preserve">ADP-04</t>
  </si>
  <si>
    <t xml:space="preserve">Tenant binding for users</t>
  </si>
  <si>
    <t xml:space="preserve">migrations/029_adp04_user_tenant_binding.sql; src/identity/registry.zig; src/identity/service.zig; src/api/routes/identity.zig; src/api/routes/tasks.zig; tests/integration/adp04_user_tenant_binding_test.zig; tests/integration/main_test.zig; tests/integration/idn02_group_management_test.zig</t>
  </si>
  <si>
    <t xml:space="preserve">ADP-04a</t>
  </si>
  <si>
    <t xml:space="preserve">External identity linkage for users</t>
  </si>
  <si>
    <t xml:space="preserve">migrations/030_adp04a_external_identity_linkage.sql; src/identity/registry.zig; src/identity/service.zig; tests/integration/adp04a_external_identity_linkage_test.zig</t>
  </si>
  <si>
    <t xml:space="preserve">ADP-04b</t>
  </si>
  <si>
    <t xml:space="preserve">Tenant realm binding for OIDC foundations</t>
  </si>
  <si>
    <t xml:space="preserve">migrations/031_adp04b_tenant_realm_binding.sql; src/identity/registry.zig; src/identity/service.zig; src/api/routes/identity.zig; tests/integration/adp04a_external_identity_linkage_test.zig; tests/integration/adp04b_tenant_realm_binding_test.zig; tests/integration/main_test.zig</t>
  </si>
  <si>
    <t xml:space="preserve">ADP-05</t>
  </si>
  <si>
    <t xml:space="preserve">Artifact hash reference on instance</t>
  </si>
  <si>
    <t xml:space="preserve">migrations/032_adp05_instance_artifact_hash.sql; src/engine/instance.zig; src/engine/reconstruction.zig; tests/integration/adp05_instance_artifact_hash_test.zig; tests/integration/main_test.zig</t>
  </si>
  <si>
    <t xml:space="preserve">ADP-06</t>
  </si>
  <si>
    <t xml:space="preserve">Pipeline run correlation on audit and events</t>
  </si>
  <si>
    <t xml:space="preserve">migrations/033_adp06_pipeline_run_correlation.sql; src/obs/audit.zig; src/event_store/store.zig; src/api/routes/audit.zig; src/api/routes/instances.zig; tests/integration/adp06_pipeline_run_correlation_test.zig; tests/integration/main_test.zig</t>
  </si>
  <si>
    <t xml:space="preserve">ADP-07</t>
  </si>
  <si>
    <t xml:space="preserve">Agent role and reserved usernames</t>
  </si>
  <si>
    <t xml:space="preserve">src/api/middleware/auth.zig; src/identity/service.zig; src/api/routes/identity.zig; src/api/authorization.zig; migrations/034_adp07_agent_role_reserved_usernames.sql; tests/integration/adp07_agent_role_reserved_usernames_test.zig; tests/integration/main_test.zig</t>
  </si>
  <si>
    <t xml:space="preserve">ADP-08</t>
  </si>
  <si>
    <t xml:space="preserve">Service task catalog reference</t>
  </si>
  <si>
    <t xml:space="preserve">src/engine/service_task.zig; src/engine/instance.zig; src/definition/graph.zig; tests/unit/service_task_test.zig; tests/unit/graph_node_attributes_test.zig; tests/integration/ext01_service_task_test.zig</t>
  </si>
  <si>
    <t xml:space="preserve">ADP-09</t>
  </si>
  <si>
    <t xml:space="preserve">Tamper-evident audit chain</t>
  </si>
  <si>
    <t xml:space="preserve">migrations/035_adp09_tamper_evident_audit_chain.sql; tests/integration/adp09_tamper_evident_audit_chain_test.zig; tests/integration/main_test.zig</t>
  </si>
  <si>
    <t xml:space="preserve">ADP-10</t>
  </si>
  <si>
    <t xml:space="preserve">Agent IO capture audit</t>
  </si>
  <si>
    <t xml:space="preserve">migrations/036_adp10_agent_io_capture_audit.sql; tests/integration/adp10_agent_io_capture_audit_test.zig; tests/integration/main_test.zig</t>
  </si>
  <si>
    <t xml:space="preserve">ADP-11</t>
  </si>
  <si>
    <t xml:space="preserve">Replay-safe retention policy</t>
  </si>
  <si>
    <t xml:space="preserve">src/event_store/store.zig; migrations/037_adp11_replay_safe_retention_policy.sql; tests/integration/event_store_integration_test.zig</t>
  </si>
  <si>
    <t xml:space="preserve">ADP-12</t>
  </si>
  <si>
    <t xml:space="preserve">Default-tenant regression suite</t>
  </si>
  <si>
    <t xml:space="preserve">build.zig; tests/integration/main_test.zig; tests/integration/adp12_default_tenant_regression_test.zig; tests/integration/support/regression_matrix.zig; tests/integration/support/response_canonicalizer.zig; tests/integration/support/migration_window_orchestrator.zig; tests/integration/support/report_writer.zig</t>
  </si>
  <si>
    <t xml:space="preserve">OIDC-01</t>
  </si>
  <si>
    <t xml:space="preserve">Pluggable provider interface</t>
  </si>
  <si>
    <t xml:space="preserve">src/identity/provider/errors.zig; src/identity/provider/types.zig; src/identity/provider/interface.zig; src/identity/provider/manager.zig; src/identity/provider/mod.zig; src/identity/provider/adapters/keycloak/provider.zig; src/identity/provider/adapters/stub/provider.zig; src/api/middleware/auth.zig; src/api/api_mod.zig; src/identity/service.zig; tests/unit/test_api08_auth.zig; build.zig; tests/unit/test_oidc01_provider_boundary.zig; tests/unit/test_oidc01_provider_stub.zig</t>
  </si>
  <si>
    <t xml:space="preserve">OIDC-02</t>
  </si>
  <si>
    <t xml:space="preserve">Keycloak adapter</t>
  </si>
  <si>
    <t xml:space="preserve">src/identity/provider/mod.zig; src/identity/provider/adapters/keycloak/config.zig; src/identity/provider/adapters/keycloak/urls.zig; src/identity/provider/adapters/keycloak/provider.zig; src/identity/provider/test_oidc02_keycloak_adapter.zig; tests/unit/test_oidc01_provider_boundary.zig; build.zig</t>
  </si>
  <si>
    <t xml:space="preserve">OIDC-03</t>
  </si>
  <si>
    <t xml:space="preserve">Configuration source</t>
  </si>
  <si>
    <t xml:space="preserve">src/config/identity_provider.zig; src/identity/provider/bootstrap.zig; src/identity/provider/mod.zig; src/main.zig; build.zig</t>
  </si>
  <si>
    <t xml:space="preserve">OIDC-04</t>
  </si>
  <si>
    <t xml:space="preserve">Standards-compliance boundary</t>
  </si>
  <si>
    <t xml:space="preserve">src/identity/provider/oidc/standards_verifier.zig; src/identity/provider/adapters/keycloak/provider.zig; src/identity/provider/test_oidc02_keycloak_adapter.zig</t>
  </si>
  <si>
    <t xml:space="preserve">OIDC-05</t>
  </si>
  <si>
    <t xml:space="preserve">Bearer token acceptance</t>
  </si>
  <si>
    <t xml:space="preserve">src/api/middleware/auth.zig; src/identity/provider/manager.zig; tests/unit/test_api08_auth.zig; tests/unit/test_oidc01_provider_boundary.zig; tests/unit/test_oidc01_provider_stub.zig</t>
  </si>
  <si>
    <t xml:space="preserve">OIDC-06</t>
  </si>
  <si>
    <t xml:space="preserve">JWKS caching</t>
  </si>
  <si>
    <t xml:space="preserve">src/identity/provider/oidc/jwks_cache.zig</t>
  </si>
  <si>
    <t xml:space="preserve">OIDC-07</t>
  </si>
  <si>
    <t xml:space="preserve">Claim validation</t>
  </si>
  <si>
    <t xml:space="preserve">src/identity/provider/oidc/standards_verifier.zig</t>
  </si>
  <si>
    <t xml:space="preserve">OIDC-08</t>
  </si>
  <si>
    <t xml:space="preserve">Standard claim mapping</t>
  </si>
  <si>
    <t xml:space="preserve">src/oidc/claim_mapping.zig</t>
  </si>
  <si>
    <t xml:space="preserve">OIDC-09</t>
  </si>
  <si>
    <t xml:space="preserve">JIT user creation</t>
  </si>
  <si>
    <t xml:space="preserve">src/oidc/jit_provisioning.zig</t>
  </si>
  <si>
    <t xml:space="preserve">OIDC-10</t>
  </si>
  <si>
    <t xml:space="preserve">Attribute synchronisation</t>
  </si>
  <si>
    <t xml:space="preserve">src/oidc/attribute_sync.zig (inferred)</t>
  </si>
  <si>
    <t xml:space="preserve">OIDC-11</t>
  </si>
  <si>
    <t xml:space="preserve">External user identity stability</t>
  </si>
  <si>
    <t xml:space="preserve">src/oidc/identity_stability.zig</t>
  </si>
  <si>
    <t xml:space="preserve">OIDC-12</t>
  </si>
  <si>
    <t xml:space="preserve">Realm-tenant binding</t>
  </si>
  <si>
    <t xml:space="preserve">src/oidc/realm_tenant_binding.zig</t>
  </si>
  <si>
    <t xml:space="preserve">OIDC-13</t>
  </si>
  <si>
    <t xml:space="preserve">Tenant claim source</t>
  </si>
  <si>
    <t xml:space="preserve">src/oidc/tenant_claim_source.zig</t>
  </si>
  <si>
    <t xml:space="preserve">OIDC-14</t>
  </si>
  <si>
    <t xml:space="preserve">Realm provisioning via adapter</t>
  </si>
  <si>
    <t xml:space="preserve">src/oidc/realm_provisioning.zig</t>
  </si>
  <si>
    <t xml:space="preserve">OIDC-15</t>
  </si>
  <si>
    <t xml:space="preserve">Realm deletion safety</t>
  </si>
  <si>
    <t xml:space="preserve">src/oidc/realm_deletion.zig</t>
  </si>
  <si>
    <t xml:space="preserve">OIDC-16</t>
  </si>
  <si>
    <t xml:space="preserve">Full lifecycle API for agents</t>
  </si>
  <si>
    <t xml:space="preserve">src/oidc/agent_lifecycle.zig</t>
  </si>
  <si>
    <t xml:space="preserve">OIDC-17</t>
  </si>
  <si>
    <t xml:space="preserve">Provisioning idempotency</t>
  </si>
  <si>
    <t xml:space="preserve">OIDC-18</t>
  </si>
  <si>
    <t xml:space="preserve">Provisioning transactional semantics</t>
  </si>
  <si>
    <t xml:space="preserve">OIDC-19</t>
  </si>
  <si>
    <t xml:space="preserve">Provisioning audit</t>
  </si>
  <si>
    <t xml:space="preserve">OIDC-20</t>
  </si>
  <si>
    <t xml:space="preserve">Service accounts for agents</t>
  </si>
  <si>
    <t xml:space="preserve">OIDC-21</t>
  </si>
  <si>
    <t xml:space="preserve">Agent token rotation</t>
  </si>
  <si>
    <t xml:space="preserve">OIDC-22</t>
  </si>
  <si>
    <t xml:space="preserve">Bootstrap agent identity</t>
  </si>
  <si>
    <t xml:space="preserve">src/identity/provider/bootstrap.zig</t>
  </si>
  <si>
    <t xml:space="preserve">OIDC-23</t>
  </si>
  <si>
    <t xml:space="preserve">IDP federation support</t>
  </si>
  <si>
    <t xml:space="preserve">OIDC-24</t>
  </si>
  <si>
    <t xml:space="preserve">Federated user attribute mapping</t>
  </si>
  <si>
    <t xml:space="preserve">OIDC-25</t>
  </si>
  <si>
    <t xml:space="preserve">Provider health check</t>
  </si>
  <si>
    <t xml:space="preserve">OIDC-26</t>
  </si>
  <si>
    <t xml:space="preserve">Provider metrics</t>
  </si>
  <si>
    <t xml:space="preserve">OIDC-27</t>
  </si>
  <si>
    <t xml:space="preserve">Token verification performance</t>
  </si>
  <si>
    <t xml:space="preserve">src/oidc/verification_benchmark.zig</t>
  </si>
  <si>
    <t xml:space="preserve">OIDC-28</t>
  </si>
  <si>
    <t xml:space="preserve">Local development realm</t>
  </si>
  <si>
    <t xml:space="preserve">src/oidc/realm_seed.zig</t>
  </si>
  <si>
    <t xml:space="preserve">OIDC-29</t>
  </si>
  <si>
    <t xml:space="preserve">Realm seed as versioned artifact</t>
  </si>
  <si>
    <t xml:space="preserve">OIDC-30</t>
  </si>
  <si>
    <t xml:space="preserve">Test token issuance helper</t>
  </si>
  <si>
    <t xml:space="preserve">src/oidc/test_token_helper.zig</t>
  </si>
  <si>
    <t xml:space="preserve">OIDC-31</t>
  </si>
  <si>
    <t xml:space="preserve">End-to-end authentication test suite</t>
  </si>
  <si>
    <t xml:space="preserve">OIDC-32</t>
  </si>
  <si>
    <t xml:space="preserve">Agent test identities</t>
  </si>
  <si>
    <t xml:space="preserve">OIDC-33</t>
  </si>
  <si>
    <t xml:space="preserve">Coexistence period</t>
  </si>
  <si>
    <t xml:space="preserve">src/oidc/coexistence_auth.zig</t>
  </si>
  <si>
    <t xml:space="preserve">OIDC-34</t>
  </si>
  <si>
    <t xml:space="preserve">Migration helper</t>
  </si>
  <si>
    <t xml:space="preserve">src/oidc/migration_helper.zig</t>
  </si>
  <si>
    <t xml:space="preserve">7</t>
  </si>
  <si>
    <t xml:space="preserve">DSL-01</t>
  </si>
  <si>
    <t xml:space="preserve">Grammar conformance</t>
  </si>
  <si>
    <t xml:space="preserve">src/expr/error.zig; src/expr/ast.zig; src/expr/lexer.zig; src/expr/parser.zig; src/expr/mod.zig; build.zig</t>
  </si>
  <si>
    <t xml:space="preserve">DSL-02</t>
  </si>
  <si>
    <t xml:space="preserve">AST stability</t>
  </si>
  <si>
    <t xml:space="preserve">src/expr/ast.zig</t>
  </si>
  <si>
    <t xml:space="preserve">DSL-03</t>
  </si>
  <si>
    <t xml:space="preserve">Error recovery</t>
  </si>
  <si>
    <t xml:space="preserve">src/expr/parser.zig; src/expr/error.zig; src/expr/mod.zig; src/expr/lexer.zig; src/expr/ast.zig; tests/unit/expr_error_recovery_test.zig; build.zig</t>
  </si>
  <si>
    <t xml:space="preserve">DSL-04</t>
  </si>
  <si>
    <t xml:space="preserve">Supported types</t>
  </si>
  <si>
    <t xml:space="preserve">src/expr/ast.zig; src/expr/mod.zig</t>
  </si>
  <si>
    <t xml:space="preserve">DSL-05</t>
  </si>
  <si>
    <t xml:space="preserve">Type coercion</t>
  </si>
  <si>
    <t xml:space="preserve">src/expr/ast.zig; src/expr/mod.zig; src/expr/error.zig</t>
  </si>
  <si>
    <t xml:space="preserve">DSL-06</t>
  </si>
  <si>
    <t xml:space="preserve">Total evaluation</t>
  </si>
  <si>
    <t xml:space="preserve">src/expr/evaluator.zig</t>
  </si>
  <si>
    <t xml:space="preserve">DSL-07</t>
  </si>
  <si>
    <t xml:space="preserve">Function whitelist</t>
  </si>
  <si>
    <t xml:space="preserve">src/expr/lexer.zig; src/expr/mod.zig</t>
  </si>
  <si>
    <t xml:space="preserve">DSL-08</t>
  </si>
  <si>
    <t xml:space="preserve">Function purity</t>
  </si>
  <si>
    <t xml:space="preserve">src/expr/mod.zig</t>
  </si>
  <si>
    <t xml:space="preserve">DSL-09</t>
  </si>
  <si>
    <t xml:space="preserve">Date built-ins</t>
  </si>
  <si>
    <t xml:space="preserve">DSL-10</t>
  </si>
  <si>
    <t xml:space="preserve">Context resolution</t>
  </si>
  <si>
    <t xml:space="preserve">DSL-11</t>
  </si>
  <si>
    <t xml:space="preserve">Dot path traversal</t>
  </si>
  <si>
    <t xml:space="preserve">DSL-12</t>
  </si>
  <si>
    <t xml:space="preserve">Engine API</t>
  </si>
  <si>
    <t xml:space="preserve">DSL-13</t>
  </si>
  <si>
    <t xml:space="preserve">Performance target</t>
  </si>
  <si>
    <t xml:space="preserve">src/expr/benchmark.zig</t>
  </si>
  <si>
    <t xml:space="preserve">8</t>
  </si>
  <si>
    <t xml:space="preserve">LUA-01</t>
  </si>
  <si>
    <t xml:space="preserve">LuaJIT integration</t>
  </si>
  <si>
    <t xml:space="preserve">src/lua/luajit_bindings.zig</t>
  </si>
  <si>
    <t xml:space="preserve">LUA-02</t>
  </si>
  <si>
    <t xml:space="preserve">State isolation</t>
  </si>
  <si>
    <t xml:space="preserve">src/lua/executor.zig</t>
  </si>
  <si>
    <t xml:space="preserve">LUA-03</t>
  </si>
  <si>
    <t xml:space="preserve">Stdlib restriction</t>
  </si>
  <si>
    <t xml:space="preserve">src/lua/stdlib.zig</t>
  </si>
  <si>
    <t xml:space="preserve">LUA-04</t>
  </si>
  <si>
    <t xml:space="preserve">Bytecode loading disabled</t>
  </si>
  <si>
    <t xml:space="preserve">src/lua/stdlib.zig; src/lua/executor.zig</t>
  </si>
  <si>
    <t xml:space="preserve">LUA-05</t>
  </si>
  <si>
    <t xml:space="preserve">Host API registration</t>
  </si>
  <si>
    <t xml:space="preserve">src/lua/host_api/mod.zig</t>
  </si>
  <si>
    <t xml:space="preserve">LUA-06</t>
  </si>
  <si>
    <t xml:space="preserve">Capability check at call site</t>
  </si>
  <si>
    <t xml:space="preserve">src/lua/capabilities.zig</t>
  </si>
  <si>
    <t xml:space="preserve">LUA-07</t>
  </si>
  <si>
    <t xml:space="preserve">Capability manifest validation</t>
  </si>
  <si>
    <t xml:space="preserve">src/lua/manifest.zig</t>
  </si>
  <si>
    <t xml:space="preserve">LUA-08</t>
  </si>
  <si>
    <t xml:space="preserve">Instruction limit</t>
  </si>
  <si>
    <t xml:space="preserve">src/lua/instruction_limiter.zig</t>
  </si>
  <si>
    <t xml:space="preserve">LUA-09</t>
  </si>
  <si>
    <t xml:space="preserve">Memory limit</t>
  </si>
  <si>
    <t xml:space="preserve">src/lua/memory_limiter.zig</t>
  </si>
  <si>
    <t xml:space="preserve">LUA-10</t>
  </si>
  <si>
    <t xml:space="preserve">Wall clock timeout</t>
  </si>
  <si>
    <t xml:space="preserve">src/lua/timeout.zig</t>
  </si>
  <si>
    <t xml:space="preserve">LUA-11</t>
  </si>
  <si>
    <t xml:space="preserve">Variable read/write</t>
  </si>
  <si>
    <t xml:space="preserve">src/lua/executor.zig; src/lua/host_api/read_variable.zig; src/lua/host_api/write_variable.zig</t>
  </si>
  <si>
    <t xml:space="preserve">LUA-12</t>
  </si>
  <si>
    <t xml:space="preserve">Service call</t>
  </si>
  <si>
    <t xml:space="preserve">src/lua/service_catalog.zig; src/lua/host_api/call_service.zig</t>
  </si>
  <si>
    <t xml:space="preserve">LUA-13</t>
  </si>
  <si>
    <t xml:space="preserve">Logging</t>
  </si>
  <si>
    <t xml:space="preserve">src/lua/structured_logger.zig; src/lua/host_api/log.zig</t>
  </si>
  <si>
    <t xml:space="preserve">LUA-14</t>
  </si>
  <si>
    <t xml:space="preserve">Time source</t>
  </si>
  <si>
    <t xml:space="preserve">src/lua/time_source.zig; src/lua/host_api/now.zig</t>
  </si>
  <si>
    <t xml:space="preserve">LUA-15</t>
  </si>
  <si>
    <t xml:space="preserve">Structured failure</t>
  </si>
  <si>
    <t xml:space="preserve">src/lua/host_api/fail.zig; src/lua/events.zig</t>
  </si>
  <si>
    <t xml:space="preserve">LUA-16</t>
  </si>
  <si>
    <t xml:space="preserve">Runtime error capture</t>
  </si>
  <si>
    <t xml:space="preserve">src/lua/errors.zig; src/lua/events.zig</t>
  </si>
  <si>
    <t xml:space="preserve">TM-01</t>
  </si>
  <si>
    <t xml:space="preserve">Platform-admin tenant list</t>
  </si>
  <si>
    <t xml:space="preserve">src/api/routes/identity.zig; src/identity/service.zig; src/identity/registry.zig; web/src/pages/admin/tenants/TenantsPage.tsx; web/src/api/tenants.ts</t>
  </si>
  <si>
    <t xml:space="preserve">TM-02</t>
  </si>
  <si>
    <t xml:space="preserve">Navigation to tenant onboarding</t>
  </si>
  <si>
    <t xml:space="preserve">web/src/pages/admin/tenants/TenantsPage.tsx</t>
  </si>
  <si>
    <t xml:space="preserve">TM-03</t>
  </si>
  <si>
    <t xml:space="preserve">Edit tenant mutable fields</t>
  </si>
  <si>
    <t xml:space="preserve">src/api/routes/identity.zig; src/identity/service.zig; src/identity/registry.zig; web/src/pages/admin/tenants/EditTenantPage.tsx</t>
  </si>
  <si>
    <t xml:space="preserve">TM-04</t>
  </si>
  <si>
    <t xml:space="preserve">Deactivate tenant</t>
  </si>
  <si>
    <t xml:space="preserve">src/api/routes/identity.zig; src/identity/service.zig; web/src/api/tenants.ts; web/src/pages/admin/tenants/TenantsPage.tsx</t>
  </si>
  <si>
    <t xml:space="preserve">TM-05</t>
  </si>
  <si>
    <t xml:space="preserve">Reactivate tenant</t>
  </si>
  <si>
    <t xml:space="preserve">9</t>
  </si>
  <si>
    <t xml:space="preserve">WASM-01</t>
  </si>
  <si>
    <t xml:space="preserve">Wasmtime integration</t>
  </si>
  <si>
    <t xml:space="preserve">src/wasm/engine.zig; src/wasm/wasmtime_bindings.zig</t>
  </si>
  <si>
    <t xml:space="preserve">WASM-02</t>
  </si>
  <si>
    <t xml:space="preserve">Module ABI</t>
  </si>
  <si>
    <t xml:space="preserve">src/wasm/instance.zig; src/wasm/executor.zig</t>
  </si>
  <si>
    <t xml:space="preserve">WASM-03</t>
  </si>
  <si>
    <t xml:space="preserve">Source compilation job</t>
  </si>
  <si>
    <t xml:space="preserve">src/wasm/engine.zig</t>
  </si>
  <si>
    <t xml:space="preserve">WASM-04</t>
  </si>
  <si>
    <t xml:space="preserve">Compile caching</t>
  </si>
  <si>
    <t xml:space="preserve">WASM-05</t>
  </si>
  <si>
    <t xml:space="preserve">Build reproducibility</t>
  </si>
  <si>
    <t xml:space="preserve">WASM-06</t>
  </si>
  <si>
    <t xml:space="preserve">Import whitelist</t>
  </si>
  <si>
    <t xml:space="preserve">src/wasm/capabilities.zig</t>
  </si>
  <si>
    <t xml:space="preserve">WASM-07</t>
  </si>
  <si>
    <t xml:space="preserve">No filesystem access</t>
  </si>
  <si>
    <t xml:space="preserve">WASM-08</t>
  </si>
  <si>
    <t xml:space="preserve">Memory isolation</t>
  </si>
  <si>
    <t xml:space="preserve">src/wasm/instance.zig; src/wasm/memory.zig</t>
  </si>
  <si>
    <t xml:space="preserve">WASM-09</t>
  </si>
  <si>
    <t xml:space="preserve">Fuel-based execution limit</t>
  </si>
  <si>
    <t xml:space="preserve">src/wasm/engine.zig; src/wasm/executor.zig</t>
  </si>
  <si>
    <t xml:space="preserve">WASM-10</t>
  </si>
  <si>
    <t xml:space="preserve">Memory cap</t>
  </si>
  <si>
    <t xml:space="preserve">src/wasm/memory.zig</t>
  </si>
  <si>
    <t xml:space="preserve">WASM-11</t>
  </si>
  <si>
    <t xml:space="preserve">src/wasm/timeout.zig</t>
  </si>
  <si>
    <t xml:space="preserve">WASM-12</t>
  </si>
  <si>
    <t xml:space="preserve">Parity with Lua host API</t>
  </si>
  <si>
    <t xml:space="preserve">src/wasm/host_api/mod.zig</t>
  </si>
  <si>
    <t xml:space="preserve">WASM-13</t>
  </si>
  <si>
    <t xml:space="preserve">Instance pooling</t>
  </si>
  <si>
    <t xml:space="preserve">src/wasm/pool.zig</t>
  </si>
  <si>
    <t xml:space="preserve">WASM-14</t>
  </si>
  <si>
    <t xml:space="preserve">Hot reload</t>
  </si>
  <si>
    <t xml:space="preserve">src/wasm/module_registry.zig</t>
  </si>
  <si>
    <t xml:space="preserve">10</t>
  </si>
  <si>
    <t xml:space="preserve">REPO-01</t>
  </si>
  <si>
    <t xml:space="preserve">Content addressing</t>
  </si>
  <si>
    <t xml:space="preserve">src/repository/canonicaliser.zig; src/repository/artifacts.zig</t>
  </si>
  <si>
    <t xml:space="preserve">REPO-02</t>
  </si>
  <si>
    <t xml:space="preserve">Immutability</t>
  </si>
  <si>
    <t xml:space="preserve">src/repository/artifacts.zig</t>
  </si>
  <si>
    <t xml:space="preserve">REPO-03</t>
  </si>
  <si>
    <t xml:space="preserve">Versioning</t>
  </si>
  <si>
    <t xml:space="preserve">REPO-04</t>
  </si>
  <si>
    <t xml:space="preserve">Canonical serialisation</t>
  </si>
  <si>
    <t xml:space="preserve">src/repository/canonicaliser.zig</t>
  </si>
  <si>
    <t xml:space="preserve">REPO-05</t>
  </si>
  <si>
    <t xml:space="preserve">Form schema indexing</t>
  </si>
  <si>
    <t xml:space="preserve">src/repository/schemas.zig</t>
  </si>
  <si>
    <t xml:space="preserve">REPO-06</t>
  </si>
  <si>
    <t xml:space="preserve">REPO-07</t>
  </si>
  <si>
    <t xml:space="preserve">Service catalog</t>
  </si>
  <si>
    <t xml:space="preserve">src/repository/service_catalog.zig</t>
  </si>
  <si>
    <t xml:space="preserve">REPO-08</t>
  </si>
  <si>
    <t xml:space="preserve">Atomic activation</t>
  </si>
  <si>
    <t xml:space="preserve">src/repository/activation.zig</t>
  </si>
  <si>
    <t xml:space="preserve">REPO-09</t>
  </si>
  <si>
    <t xml:space="preserve">Per-tenant activation</t>
  </si>
  <si>
    <t xml:space="preserve">REPO-10</t>
  </si>
  <si>
    <t xml:space="preserve">Activation history</t>
  </si>
  <si>
    <t xml:space="preserve">REPO-11</t>
  </si>
  <si>
    <t xml:space="preserve">Create artifact</t>
  </si>
  <si>
    <t xml:space="preserve">src/api/routes/repository.zig; src/repository/artifacts.zig</t>
  </si>
  <si>
    <t xml:space="preserve">REPO-12</t>
  </si>
  <si>
    <t xml:space="preserve">List versions</t>
  </si>
  <si>
    <t xml:space="preserve">REPO-13</t>
  </si>
  <si>
    <t xml:space="preserve">Tenant activations</t>
  </si>
  <si>
    <t xml:space="preserve">src/api/routes/repository.zig; src/repository/activation.zig</t>
  </si>
  <si>
    <t xml:space="preserve">REPO-14</t>
  </si>
  <si>
    <t xml:space="preserve">Bulk bundle operations</t>
  </si>
  <si>
    <t xml:space="preserve">XC-01</t>
  </si>
  <si>
    <t xml:space="preserve">Trace propagation</t>
  </si>
  <si>
    <t xml:space="preserve">src/api/trace_context.zig; src/api/middleware/trace.zig; src/obs/audit.zig; src/api/errors.zig</t>
  </si>
  <si>
    <t xml:space="preserve">XC-02</t>
  </si>
  <si>
    <t xml:space="preserve">Audit immutability</t>
  </si>
  <si>
    <t xml:space="preserve">src/obs/audit.zig</t>
  </si>
  <si>
    <t xml:space="preserve">XC-03</t>
  </si>
  <si>
    <t xml:space="preserve">Configuration in repository</t>
  </si>
  <si>
    <t xml:space="preserve">src/config/loader.zig; src/repository/activation.zig</t>
  </si>
  <si>
    <t xml:space="preserve">XC-04</t>
  </si>
  <si>
    <t xml:space="preserve">Kernel determinism</t>
  </si>
  <si>
    <t xml:space="preserve">src/engine/transition.zig; src/event_store/store.zig; src/scheduler/scheduler.zig</t>
  </si>
  <si>
    <t xml:space="preserve">XC-05</t>
  </si>
  <si>
    <t xml:space="preserve">Deterministic replay for non-LLM tiers</t>
  </si>
  <si>
    <t xml:space="preserve">src/engine/transition.zig; src/event_store/store.zig</t>
  </si>
  <si>
    <t xml:space="preserve">XC-06</t>
  </si>
  <si>
    <t xml:space="preserve">Backwards compatibility</t>
  </si>
  <si>
    <t xml:space="preserve">src/db/migrations.zig; src/definition/store.zig</t>
  </si>
  <si>
    <t xml:space="preserve">11</t>
  </si>
  <si>
    <t xml:space="preserve">SIM-01</t>
  </si>
  <si>
    <t xml:space="preserve">Simulation tenant</t>
  </si>
  <si>
    <t xml:space="preserve">tests/integration/helpers.zig; tests/integration/sim01_04_simulation_mode_test.zig; tests/integration/xc04_kernel_determinism_test.zig; tests/integration/main_test.zig; tests/integration/stage11_sim_xc04_aggregate_test.zig; tests/integration/oidc31_end_to_end_auth_suite_test.zig; tests/integration/oidc35_onboarding_test.zig; src/simulation/types.zig; src/simulation/context.zig; src/simulation/time_source.zig; src/simulation/uuid_source.zig; src/simulation/mock_catalog.zig; src/simulation/service_interceptor.zig; src/simulation/tenant_store.zig; src/simulation/runtime.zig; src/simulation/mod.zig; src/lua/host_api/now.zig; src/lua/host_api/call_service.zig; src/bpm.zig; src/db/migrations.zig; src/tools/migrate.zig</t>
  </si>
  <si>
    <t xml:space="preserve">SIM-02</t>
  </si>
  <si>
    <t xml:space="preserve">Service mocking</t>
  </si>
  <si>
    <t xml:space="preserve">SIM-03</t>
  </si>
  <si>
    <t xml:space="preserve">Time control</t>
  </si>
  <si>
    <t xml:space="preserve">SIM-04</t>
  </si>
  <si>
    <t xml:space="preserve">Deterministic UUIDs</t>
  </si>
  <si>
    <t xml:space="preserve">SIM-05</t>
  </si>
  <si>
    <t xml:space="preserve">Scenario schema</t>
  </si>
  <si>
    <t xml:space="preserve">tests/integration/main_test.zig; tests/integration/sim05_08_scenario_runner_test.zig; tests/integration/helpers.zig; src/simulation/mod.zig; src/main.zig; src/bpm.zig</t>
  </si>
  <si>
    <t xml:space="preserve">SIM-06</t>
  </si>
  <si>
    <t xml:space="preserve">Assertion vocabulary</t>
  </si>
  <si>
    <t xml:space="preserve">SIM-07</t>
  </si>
  <si>
    <t xml:space="preserve">Scenario runner</t>
  </si>
  <si>
    <t xml:space="preserve">SIM-08</t>
  </si>
  <si>
    <t xml:space="preserve">Batch execution</t>
  </si>
  <si>
    <t xml:space="preserve">SIM-09</t>
  </si>
  <si>
    <t xml:space="preserve">Test result storage</t>
  </si>
  <si>
    <t xml:space="preserve">src/simulation/scenario_runner.zig; src/api/routes/simulation_test.zig</t>
  </si>
  <si>
    <t xml:space="preserve">SIM-10</t>
  </si>
  <si>
    <t xml:space="preserve">Failure diagnostics</t>
  </si>
  <si>
    <t xml:space="preserve">src/simulation/scenario_runner.zig; src/simulation/types.zig; src/api/routes/simulation_test.zig</t>
  </si>
  <si>
    <t xml:space="preserve">12</t>
  </si>
  <si>
    <t xml:space="preserve">TNT-01</t>
  </si>
  <si>
    <t xml:space="preserve">Business tables migrated to per-tenant schemas</t>
  </si>
  <si>
    <t xml:space="preserve">WF02-tnt-batch1-20260609</t>
  </si>
  <si>
    <t xml:space="preserve">TNT-02</t>
  </si>
  <si>
    <t xml:space="preserve">Migration runner enforces search_path isolation</t>
  </si>
  <si>
    <t xml:space="preserve">TNT-03</t>
  </si>
  <si>
    <t xml:space="preserve">Connection pool sets search_path per tenant on checkout</t>
  </si>
  <si>
    <t xml:space="preserve">TNT-04</t>
  </si>
  <si>
    <t xml:space="preserve">Platform startup audits public schema</t>
  </si>
  <si>
    <t xml:space="preserve">TNT-05</t>
  </si>
  <si>
    <t xml:space="preserve">WF02-tnt-batch2-20260609</t>
  </si>
  <si>
    <t xml:space="preserve">TNT-06</t>
  </si>
  <si>
    <t xml:space="preserve">TNT-07</t>
  </si>
  <si>
    <t xml:space="preserve">13</t>
  </si>
  <si>
    <t xml:space="preserve">SVC-01</t>
  </si>
  <si>
    <t xml:space="preserve">Service catalog entries carry a scope and owner tenant</t>
  </si>
  <si>
    <t xml:space="preserve">WF02-svc-batch1-20260610</t>
  </si>
  <si>
    <t xml:space="preserve">SVC-02</t>
  </si>
  <si>
    <t xml:space="preserve">Plugin handlers declare scope and optional owner tenant at registration</t>
  </si>
  <si>
    <t xml:space="preserve">SVC-03</t>
  </si>
  <si>
    <t xml:space="preserve">Definition activation validates service and plugin availability</t>
  </si>
  <si>
    <t xml:space="preserve">SVC-04</t>
  </si>
  <si>
    <t xml:space="preserve">Admin UI and API for service catalog scope management</t>
  </si>
  <si>
    <t xml:space="preserve">14</t>
  </si>
  <si>
    <t xml:space="preserve">ENV-01</t>
  </si>
  <si>
    <t xml:space="preserve">Tenant carries a type field distinguishing production from test</t>
  </si>
  <si>
    <t xml:space="preserve">WF02-env-batch1-20260610</t>
  </si>
  <si>
    <t xml:space="preserve">ENV-02</t>
  </si>
  <si>
    <t xml:space="preserve">Test tenant is fully isolated from its paired production tenant</t>
  </si>
  <si>
    <t xml:space="preserve">ENV-03</t>
  </si>
  <si>
    <t xml:space="preserve">Process definition promotion from test tenant to production tenant</t>
  </si>
  <si>
    <t xml:space="preserve">ENV-05</t>
  </si>
  <si>
    <t xml:space="preserve">Test tenant lifecycle management</t>
  </si>
  <si>
    <t xml:space="preserve">F1</t>
  </si>
  <si>
    <t xml:space="preserve">SH-01</t>
  </si>
  <si>
    <t xml:space="preserve">Authenticated shell</t>
  </si>
  <si>
    <t xml:space="preserve">web/src/components/layout/AppShell.tsx</t>
  </si>
  <si>
    <t xml:space="preserve">SH-02</t>
  </si>
  <si>
    <t xml:space="preserve">Navigation</t>
  </si>
  <si>
    <t xml:space="preserve">SH-03</t>
  </si>
  <si>
    <t xml:space="preserve">Login page</t>
  </si>
  <si>
    <t xml:space="preserve">web/src/pages/LoginPage.tsx</t>
  </si>
  <si>
    <t xml:space="preserve">SH-04</t>
  </si>
  <si>
    <t xml:space="preserve">Token storage</t>
  </si>
  <si>
    <t xml:space="preserve">web/src/auth/tokenUtils.ts; web/src/auth/AuthProvider.tsx</t>
  </si>
  <si>
    <t xml:space="preserve">SH-05</t>
  </si>
  <si>
    <t xml:space="preserve">Session expiry</t>
  </si>
  <si>
    <t xml:space="preserve">web/src/auth/tokenUtils.ts; web/src/auth/OidcManager.ts</t>
  </si>
  <si>
    <t xml:space="preserve">SH-06</t>
  </si>
  <si>
    <t xml:space="preserve">Role-aware routing</t>
  </si>
  <si>
    <t xml:space="preserve">web/src/router.tsx; web/src/auth/ProtectedRoute.tsx</t>
  </si>
  <si>
    <t xml:space="preserve">SH-07</t>
  </si>
  <si>
    <t xml:space="preserve">Global error boundary</t>
  </si>
  <si>
    <t xml:space="preserve">web/src/components/layout/ErrorBoundary.tsx</t>
  </si>
  <si>
    <t xml:space="preserve">F2</t>
  </si>
  <si>
    <t xml:space="preserve">PD-UI-01</t>
  </si>
  <si>
    <t xml:space="preserve">Definition list page</t>
  </si>
  <si>
    <t xml:space="preserve">web/src/pages/definitions/DefinitionListPage.tsx</t>
  </si>
  <si>
    <t xml:space="preserve">PD-UI-02</t>
  </si>
  <si>
    <t xml:space="preserve">web/src/pages/definitions/DefinitionListPage.tsx; web/src/pages/definitions/DefinitionEditorPage.tsx</t>
  </si>
  <si>
    <t xml:space="preserve">PD-UI-03</t>
  </si>
  <si>
    <t xml:space="preserve">Canvas</t>
  </si>
  <si>
    <t xml:space="preserve">web/src/components/canvas/ProcessCanvas.tsx</t>
  </si>
  <si>
    <t xml:space="preserve">PD-UI-04</t>
  </si>
  <si>
    <t xml:space="preserve">Add / delete node</t>
  </si>
  <si>
    <t xml:space="preserve">web/src/components/canvas/ProcessCanvas.tsx; web/src/components/canvas/NodePalette.tsx</t>
  </si>
  <si>
    <t xml:space="preserve">PD-UI-05</t>
  </si>
  <si>
    <t xml:space="preserve">Node property panel</t>
  </si>
  <si>
    <t xml:space="preserve">web/src/components/canvas/PropertyPanel.tsx</t>
  </si>
  <si>
    <t xml:space="preserve">PD-UI-06</t>
  </si>
  <si>
    <t xml:space="preserve">Add / delete edge</t>
  </si>
  <si>
    <t xml:space="preserve">web/src/components/canvas/ProcessCanvas.tsx; web/src/components/canvas/edges/ConditionEdge.tsx</t>
  </si>
  <si>
    <t xml:space="preserve">PD-UI-07</t>
  </si>
  <si>
    <t xml:space="preserve">CEL expression editor</t>
  </si>
  <si>
    <t xml:space="preserve">web/src/components/canvas/CelExpressionEditor.tsx</t>
  </si>
  <si>
    <t xml:space="preserve">PD-UI-08</t>
  </si>
  <si>
    <t xml:space="preserve">Save definition</t>
  </si>
  <si>
    <t xml:space="preserve">web/src/pages/definitions/DefinitionEditorPage.tsx; web/src/api/definitions.ts</t>
  </si>
  <si>
    <t xml:space="preserve">PD-UI-09</t>
  </si>
  <si>
    <t xml:space="preserve">Validation feedback</t>
  </si>
  <si>
    <t xml:space="preserve">web/src/components/canvas/ValidationSummaryBar.tsx</t>
  </si>
  <si>
    <t xml:space="preserve">PD-UI-10</t>
  </si>
  <si>
    <t xml:space="preserve">Version list</t>
  </si>
  <si>
    <t xml:space="preserve">PD-UI-11</t>
  </si>
  <si>
    <t xml:space="preserve">Activate version</t>
  </si>
  <si>
    <t xml:space="preserve">PD-UI-12</t>
  </si>
  <si>
    <t xml:space="preserve">Deprecate version</t>
  </si>
  <si>
    <t xml:space="preserve">PD-UI-13</t>
  </si>
  <si>
    <t xml:space="preserve">Definition export</t>
  </si>
  <si>
    <t xml:space="preserve">web/src/pages/definitions/DefinitionListPage.tsx; web/src/api/definitions.ts</t>
  </si>
  <si>
    <t xml:space="preserve">PD-UI-14</t>
  </si>
  <si>
    <t xml:space="preserve">Definition import</t>
  </si>
  <si>
    <t xml:space="preserve">PD-UI-15</t>
  </si>
  <si>
    <t xml:space="preserve">Read-only canvas</t>
  </si>
  <si>
    <t xml:space="preserve">web/src/pages/definitions/DefinitionEditorPage.tsx; web/src/components/canvas/ProcessCanvas.tsx</t>
  </si>
  <si>
    <t xml:space="preserve">PD-UI-16</t>
  </si>
  <si>
    <t xml:space="preserve">Diff view</t>
  </si>
  <si>
    <t xml:space="preserve">web/src/components/ui/JsonDiffView.tsx</t>
  </si>
  <si>
    <t xml:space="preserve">PD-UI-17</t>
  </si>
  <si>
    <t xml:space="preserve">Canvas keyboard shortcuts</t>
  </si>
  <si>
    <t xml:space="preserve">PD-UI-18</t>
  </si>
  <si>
    <t xml:space="preserve">Auto-layout</t>
  </si>
  <si>
    <t xml:space="preserve">PD-UI-19</t>
  </si>
  <si>
    <t xml:space="preserve">Mini-map</t>
  </si>
  <si>
    <t xml:space="preserve">F3</t>
  </si>
  <si>
    <t xml:space="preserve">IN-UI-01</t>
  </si>
  <si>
    <t xml:space="preserve">Instance board</t>
  </si>
  <si>
    <t xml:space="preserve">web/src/pages/instances/InstanceBoardPage.tsx</t>
  </si>
  <si>
    <t xml:space="preserve">IN-UI-02</t>
  </si>
  <si>
    <t xml:space="preserve">Instance filters</t>
  </si>
  <si>
    <t xml:space="preserve">IN-UI-03</t>
  </si>
  <si>
    <t xml:space="preserve">IN-UI-04</t>
  </si>
  <si>
    <t xml:space="preserve">Instance detail view</t>
  </si>
  <si>
    <t xml:space="preserve">web/src/pages/instances/InstanceDetailPage.tsx</t>
  </si>
  <si>
    <t xml:space="preserve">IN-UI-05</t>
  </si>
  <si>
    <t xml:space="preserve">Event history tab</t>
  </si>
  <si>
    <t xml:space="preserve">web/src/pages/instances/InstanceDetailPage.tsx; web/src/components/instances/EventHistoryPanel.tsx; web/src/components/instances/EventJsonExpandable.tsx</t>
  </si>
  <si>
    <t xml:space="preserve">IN-UI-06</t>
  </si>
  <si>
    <t xml:space="preserve">Timeline tab</t>
  </si>
  <si>
    <t xml:space="preserve">web/src/pages/instances/InstanceDetailPage.tsx; web/src/components/instances/TimelineFeed.tsx; web/src/components/instances/ActorAvatar.tsx; src/obs/timeline.zig</t>
  </si>
  <si>
    <t xml:space="preserve">IN-UI-07</t>
  </si>
  <si>
    <t xml:space="preserve">Cancel instance</t>
  </si>
  <si>
    <t xml:space="preserve">web/src/pages/instances/InstanceDetailPage.tsx; web/src/components/instances/CancelInstanceDialog.tsx; web/src/hooks/useInstances.ts</t>
  </si>
  <si>
    <t xml:space="preserve">IN-UI-08</t>
  </si>
  <si>
    <t xml:space="preserve">Auto-refresh</t>
  </si>
  <si>
    <t xml:space="preserve">web/src/hooks/usePolling.ts; web/src/pages/instances/InstanceBoardPage.tsx; web/src/pages/instances/InstanceDetailPage.tsx</t>
  </si>
  <si>
    <t xml:space="preserve">IN-UI-09</t>
  </si>
  <si>
    <t xml:space="preserve">Active token visualisation</t>
  </si>
  <si>
    <t xml:space="preserve">web/src/components/instances/ProcessGraphWithTokens.tsx</t>
  </si>
  <si>
    <t xml:space="preserve">IN-UI-10</t>
  </si>
  <si>
    <t xml:space="preserve">History scrubber</t>
  </si>
  <si>
    <t xml:space="preserve">web/src/components/instances/HistoryScrubber.tsx</t>
  </si>
  <si>
    <t xml:space="preserve">F4</t>
  </si>
  <si>
    <t xml:space="preserve">TK-UI-01</t>
  </si>
  <si>
    <t xml:space="preserve">Task inbox display and filtering</t>
  </si>
  <si>
    <t xml:space="preserve">web/src/pages/tasks/TaskInboxPage.tsx; web/src/api/tasks.ts; web/src/hooks/useTasks.ts</t>
  </si>
  <si>
    <t xml:space="preserve">TK-UI-02</t>
  </si>
  <si>
    <t xml:space="preserve">Task detail panel display</t>
  </si>
  <si>
    <t xml:space="preserve">web/src/pages/tasks/TaskInboxPage.tsx; web/src/components/tasks/TaskDetailPanel.tsx</t>
  </si>
  <si>
    <t xml:space="preserve">TK-UI-03</t>
  </si>
  <si>
    <t xml:space="preserve">Dynamic form schema rendering</t>
  </si>
  <si>
    <t xml:space="preserve">web/src/components/tasks/TaskDetailPanel.tsx; web/src/components/tasks/DynamicForm.tsx</t>
  </si>
  <si>
    <t xml:space="preserve">TK-UI-04</t>
  </si>
  <si>
    <t xml:space="preserve">Task completion</t>
  </si>
  <si>
    <t xml:space="preserve">web/src/hooks/useTasks.ts; src/tasks/store.zig; src/api/routes/tasks.zig</t>
  </si>
  <si>
    <t xml:space="preserve">TK-UI-05</t>
  </si>
  <si>
    <t xml:space="preserve">Claim group-assigned tasks</t>
  </si>
  <si>
    <t xml:space="preserve">web/src/hooks/useTasks.ts; web/src/api/tasks.ts; src/api/routes/tasks.zig</t>
  </si>
  <si>
    <t xml:space="preserve">TK-UI-06</t>
  </si>
  <si>
    <t xml:space="preserve">Reassign tasks (operator)</t>
  </si>
  <si>
    <t xml:space="preserve">web/src/hooks/useTasks.ts; web/src/components/tasks/ReassignDialog.tsx; src/api/routes/tasks.zig</t>
  </si>
  <si>
    <t xml:space="preserve">TK-UI-07</t>
  </si>
  <si>
    <t xml:space="preserve">Sort and free-text search</t>
  </si>
  <si>
    <t xml:space="preserve">web/src/pages/tasks/TaskInboxPage.tsx; web/src/hooks/useTasks.ts</t>
  </si>
  <si>
    <t xml:space="preserve">TK-UI-08</t>
  </si>
  <si>
    <t xml:space="preserve">Navigation badge count</t>
  </si>
  <si>
    <t xml:space="preserve">web/src/components/layout/Sidebar.tsx; web/src/hooks/useTasks.ts</t>
  </si>
  <si>
    <t xml:space="preserve">TK-UI-09</t>
  </si>
  <si>
    <t xml:space="preserve">Escalation indicator</t>
  </si>
  <si>
    <t xml:space="preserve">TK-UI-10</t>
  </si>
  <si>
    <t xml:space="preserve">Mobile responsive layout</t>
  </si>
  <si>
    <t xml:space="preserve">F5</t>
  </si>
  <si>
    <t xml:space="preserve">ADM-UI-01</t>
  </si>
  <si>
    <t xml:space="preserve">User list</t>
  </si>
  <si>
    <t xml:space="preserve">web/src/pages/admin/users/UsersPage.tsx; web/src/pages/admin/UsersPage.tsx</t>
  </si>
  <si>
    <t xml:space="preserve">ADM-UI-02</t>
  </si>
  <si>
    <t xml:space="preserve">Create user</t>
  </si>
  <si>
    <t xml:space="preserve">web/src/pages/admin/users/UsersPage.tsx</t>
  </si>
  <si>
    <t xml:space="preserve">ADM-UI-03</t>
  </si>
  <si>
    <t xml:space="preserve">Edit user</t>
  </si>
  <si>
    <t xml:space="preserve">web/src/pages/admin/UserDetailPage.tsx</t>
  </si>
  <si>
    <t xml:space="preserve">ADM-UI-04</t>
  </si>
  <si>
    <t xml:space="preserve">Deactivate user</t>
  </si>
  <si>
    <t xml:space="preserve">ADM-UI-05</t>
  </si>
  <si>
    <t xml:space="preserve">web/src/pages/admin/GroupsPage.tsx</t>
  </si>
  <si>
    <t xml:space="preserve">ADM-UI-06</t>
  </si>
  <si>
    <t xml:space="preserve">Token list</t>
  </si>
  <si>
    <t xml:space="preserve">web/src/pages/admin/TokensPage.tsx</t>
  </si>
  <si>
    <t xml:space="preserve">ADM-UI-07</t>
  </si>
  <si>
    <t xml:space="preserve">Issue token</t>
  </si>
  <si>
    <t xml:space="preserve">ADM-UI-08</t>
  </si>
  <si>
    <t xml:space="preserve">Revoke token</t>
  </si>
  <si>
    <t xml:space="preserve">ADM-UI-09</t>
  </si>
  <si>
    <t xml:space="preserve">Health dashboard</t>
  </si>
  <si>
    <t xml:space="preserve">web/src/pages/admin/HealthDashboardPage.tsx</t>
  </si>
  <si>
    <t xml:space="preserve">ADM-UI-10</t>
  </si>
  <si>
    <t xml:space="preserve">Metrics viewer</t>
  </si>
  <si>
    <t xml:space="preserve">web/src/pages/admin/MetricsPage.tsx</t>
  </si>
  <si>
    <t xml:space="preserve">ADM-UI-11</t>
  </si>
  <si>
    <t xml:space="preserve">Audit log viewer</t>
  </si>
  <si>
    <t xml:space="preserve">web/src/pages/admin/AuditLogPage.tsx</t>
  </si>
  <si>
    <t xml:space="preserve">F6</t>
  </si>
  <si>
    <t xml:space="preserve">DLQ-UI-01</t>
  </si>
  <si>
    <t xml:space="preserve">DLQ list</t>
  </si>
  <si>
    <t xml:space="preserve">web/src/pages/dlq/DlqItemsPage.tsx</t>
  </si>
  <si>
    <t xml:space="preserve">DLQ-UI-02</t>
  </si>
  <si>
    <t xml:space="preserve">DLQ item detail</t>
  </si>
  <si>
    <t xml:space="preserve">web/src/pages/dlq/DlqPage.tsx</t>
  </si>
  <si>
    <t xml:space="preserve">DLQ-UI-03</t>
  </si>
  <si>
    <t xml:space="preserve">Retry action</t>
  </si>
  <si>
    <t xml:space="preserve">DLQ-UI-04</t>
  </si>
  <si>
    <t xml:space="preserve">Discard action</t>
  </si>
  <si>
    <t xml:space="preserve">DLQ-UI-05</t>
  </si>
  <si>
    <t xml:space="preserve">DLQ nav badge</t>
  </si>
  <si>
    <t xml:space="preserve">WH-UI-01</t>
  </si>
  <si>
    <t xml:space="preserve">Webhook list</t>
  </si>
  <si>
    <t xml:space="preserve">web/src/pages/dlq/WebhooksPage.tsx</t>
  </si>
  <si>
    <t xml:space="preserve">WH-UI-02</t>
  </si>
  <si>
    <t xml:space="preserve">Webhook pause/resume</t>
  </si>
  <si>
    <t xml:space="preserve">WH-UI-03</t>
  </si>
  <si>
    <t xml:space="preserve">Webhook delete</t>
  </si>
  <si>
    <t xml:space="preserve">WH-UI-04</t>
  </si>
  <si>
    <t xml:space="preserve">Delivery log</t>
  </si>
  <si>
    <t xml:space="preserve">web/src/components/webhooks/WebhookSubscriptionDetailPanel.tsx; web/src/components/webhooks/WebhookDeliveryAttemptsTable.tsx</t>
  </si>
  <si>
    <t xml:space="preserve">F7</t>
  </si>
  <si>
    <t xml:space="preserve">ONB-UI-01</t>
  </si>
  <si>
    <t xml:space="preserve">Register Tenant entry point</t>
  </si>
  <si>
    <t xml:space="preserve">ONB-UI-02</t>
  </si>
  <si>
    <t xml:space="preserve">Tenant registration form</t>
  </si>
  <si>
    <t xml:space="preserve">web/src/pages/admin/onboarding/RegisterTenantPage.tsx; web/src/api/onboarding.ts</t>
  </si>
  <si>
    <t xml:space="preserve">ONB-UI-03</t>
  </si>
  <si>
    <t xml:space="preserve">Onboarding progress display</t>
  </si>
  <si>
    <t xml:space="preserve">web/src/pages/admin/onboarding/OnboardingProgressPage.tsx</t>
  </si>
  <si>
    <t xml:space="preserve">ONB-UI-04</t>
  </si>
  <si>
    <t xml:space="preserve">Onboarding result screen</t>
  </si>
  <si>
    <t xml:space="preserve">web/src/pages/admin/onboarding/OnboardingResultPage.tsx</t>
  </si>
  <si>
    <t xml:space="preserve">scheduler</t>
  </si>
  <si>
    <t xml:space="preserve">ISS-301</t>
  </si>
  <si>
    <t xml:space="preserve">Remove redundant advisory lock from timer-claim path</t>
  </si>
  <si>
    <t xml:space="preserve">src/scheduler/timer.zig</t>
  </si>
  <si>
    <t xml:space="preserve">ISS-302</t>
  </si>
  <si>
    <t xml:space="preserve">Guard startup missed-timer sweep with advisory lock</t>
  </si>
  <si>
    <t xml:space="preserve">ISS-303</t>
  </si>
  <si>
    <t xml:space="preserve">Timer firing exhaustion routing to DLQ</t>
  </si>
  <si>
    <t xml:space="preserve">src/scheduler/timer.zig; migrations/092_iss303_timer_fire_error_count.sql</t>
  </si>
  <si>
    <t xml:space="preserve">Expansion</t>
  </si>
  <si>
    <t xml:space="preserve">EXP-101</t>
  </si>
  <si>
    <t xml:space="preserve">P1</t>
  </si>
  <si>
    <t xml:space="preserve">EXP-102</t>
  </si>
  <si>
    <t xml:space="preserve">Wire src/expr into transition.zig as production gateway condition evaluator; retire vendor/cel</t>
  </si>
  <si>
    <t xml:space="preserve">src/engine/transition.zig; src/expr/</t>
  </si>
  <si>
    <t xml:space="preserve">EXP-103</t>
  </si>
  <si>
    <t xml:space="preserve">Persist instance_waits descriptors atomically on timer/task arm and resolve</t>
  </si>
  <si>
    <t xml:space="preserve">src/engine/instance.zig; migrations/093_exp103_instance_waits.sql</t>
  </si>
  <si>
    <t xml:space="preserve">EXP-201</t>
  </si>
  <si>
    <t xml:space="preserve">Entity definition format + Repository artifact</t>
  </si>
  <si>
    <t xml:space="preserve">P0</t>
  </si>
  <si>
    <t xml:space="preserve">src/entities/definition.zig; src/entities/validator.zig; src/entities/mod.zig; src/repository/canonicaliser.zig; migrations/094_entity_subsystem.sql</t>
  </si>
  <si>
    <t xml:space="preserve">EXP-202</t>
  </si>
  <si>
    <t xml:space="preserve">Entity command API -&gt; event family</t>
  </si>
  <si>
    <t xml:space="preserve">src/entities/events.zig; src/entities/commands.zig; src/entities/projector.zig; src/api/routes/entities.zig; migrations/094_entity_subsystem.sql</t>
  </si>
  <si>
    <t xml:space="preserve">Epic 3</t>
  </si>
  <si>
    <t xml:space="preserve">EXP-301</t>
  </si>
  <si>
    <t xml:space="preserve">Effects outbox + worker polling + retry/backoff</t>
  </si>
  <si>
    <t xml:space="preserve">src/effects/</t>
  </si>
  <si>
    <t xml:space="preserve">EXP-302</t>
  </si>
  <si>
    <t xml:space="preserve">SERVICE_TASK migrated to async effect emit-and-wait</t>
  </si>
  <si>
    <t xml:space="preserve">src/engine/service_task.zig</t>
  </si>
  <si>
    <t xml:space="preserve">EXP-303</t>
  </si>
  <si>
    <t xml:space="preserve">Stub effects executor for sandbox/deterministic tests</t>
  </si>
  <si>
    <t xml:space="preserve">src/effects/stub.zig</t>
  </si>
  <si>
    <t xml:space="preserve">Epic 4</t>
  </si>
  <si>
    <t xml:space="preserve">EXP-401</t>
  </si>
  <si>
    <t xml:space="preserve">Compensation handler + error-boundary constructs</t>
  </si>
  <si>
    <t xml:space="preserve">src/engine/</t>
  </si>
  <si>
    <t xml:space="preserve">EXP-402</t>
  </si>
  <si>
    <t xml:space="preserve">Restore reconciliation + re-arm waits (restored_orphan)</t>
  </si>
  <si>
    <t xml:space="preserve">Epic 5</t>
  </si>
  <si>
    <t xml:space="preserve">src/api/tenant_context.zig; src/db/pool.zig</t>
  </si>
  <si>
    <t xml:space="preserve">src/admin/tenant_migration.zig</t>
  </si>
  <si>
    <t xml:space="preserve">migrations/GBL-084_rls_removal.sql; src/db/pool.zig</t>
  </si>
  <si>
    <t xml:space="preserve">P2</t>
  </si>
  <si>
    <t xml:space="preserve">src/db/provisioning.zig; src/db/migrations.zig</t>
  </si>
  <si>
    <t xml:space="preserve">Epic 6</t>
  </si>
  <si>
    <t xml:space="preserve">EXP-601</t>
  </si>
  <si>
    <t xml:space="preserve">Central tier-&gt;quota enforcement middleware</t>
  </si>
  <si>
    <t xml:space="preserve">src/api/middleware/quota_enforcement.zig</t>
  </si>
  <si>
    <t xml:space="preserve">correctness</t>
  </si>
  <si>
    <t xml:space="preserve">ISS-101</t>
  </si>
  <si>
    <t xml:space="preserve">timers.status CHECK constraint must include FAILED value</t>
  </si>
  <si>
    <t xml:space="preserve">migrations/081_iss101_timers_failed_status.sql; tests/integration/iss101_timers_failed_status_test.zig</t>
  </si>
  <si>
    <t xml:space="preserve">ISS-102</t>
  </si>
  <si>
    <t xml:space="preserve">Add tasks.claimed_by column and real claim path</t>
  </si>
  <si>
    <t xml:space="preserve">migrations/082_iss102_tasks_claimed_by.sql; src/tasks/store.zig; src/api/routes/tasks.zig; tests/integration/iss102_claim_test.zig</t>
  </si>
  <si>
    <t xml:space="preserve">ISS-105</t>
  </si>
  <si>
    <t xml:space="preserve">Persist new token model ({token_id,node_id} + join_counters)</t>
  </si>
  <si>
    <t xml:space="preserve">migrations/083_instances_token_model.sql; migrations/088_iss105_instances_token_model_backfill.sql; src/engine/instance.zig; src/design/iss105_token_model_schema.md</t>
  </si>
  <si>
    <t xml:space="preserve">ISS-106</t>
  </si>
  <si>
    <t xml:space="preserve">Formalize webhook_deliveries outbox table</t>
  </si>
  <si>
    <t xml:space="preserve">migrations/085_iss106_webhook_deliveries_outbox.sql; tests/integration/iss106_webhook_outbox_test.zig</t>
  </si>
  <si>
    <t xml:space="preserve">ISS-107</t>
  </si>
  <si>
    <t xml:space="preserve">Add public.tenants.storage_mode flag for SPT coexistence</t>
  </si>
  <si>
    <t xml:space="preserve">migrations/086_iss107_tenant_storage_mode.sql; src/db/provisioning.zig; tests/integration/iss107_tenant_storage_mode_test.zig</t>
  </si>
  <si>
    <t xml:space="preserve">ISS-201</t>
  </si>
  <si>
    <t xml:space="preserve">Make transition() return TransitionResult{state, emitted_events}</t>
  </si>
  <si>
    <t xml:space="preserve">src/engine/transition.zig; src/engine/instance.zig; src/engine/reconstruction.zig</t>
  </si>
  <si>
    <t xml:space="preserve">src/engine/instance.zig; tests/unit/test_ee09_merge_variables.zig; tests/integration/ee09_merge_variables_test.zig; tests/integration/iss202_merge_atomicity_test.zig</t>
  </si>
  <si>
    <t xml:space="preserve">ISS-203</t>
  </si>
  <si>
    <t xml:space="preserve">Deterministic idempotency keys for engine-emitted cascade events</t>
  </si>
  <si>
    <t xml:space="preserve">src/engine/transition.zig; src/engine/instance.zig; src/engine/reconstruction.zig; src/event_store/store.zig; tests/unit/service_task_test.zig; tests/unit/test_engine_apply.zig; tests/unit/test_engine_ee05.zig; tests/unit/test_ee07_parallel_join.zig; tests/integration/iss203_idempotency_keys_test.zig</t>
  </si>
  <si>
    <t xml:space="preserve">Schema-Per-Tenant Migration</t>
  </si>
  <si>
    <t xml:space="preserve">SPT-01</t>
  </si>
  <si>
    <t xml:space="preserve">Schema-per-tenant provisioning infrastructure</t>
  </si>
  <si>
    <t xml:space="preserve">migrations/060_schema_per_tenant_bootstrap.sql; src/db/migrations.zig; src/db/pool.zig; src/db/provisioning.zig</t>
  </si>
  <si>
    <t xml:space="preserve">UAT Tenant URL</t>
  </si>
  <si>
    <t xml:space="preserve">UAT-TM-01</t>
  </si>
  <si>
    <t xml:space="preserve">Parameterise Keycloak token helper realm</t>
  </si>
  <si>
    <t xml:space="preserve">web/tests/e2e/pipeline.ts</t>
  </si>
  <si>
    <t xml:space="preserve">UAT-TM-02</t>
  </si>
  <si>
    <t xml:space="preserve">Resolve tenant context from company slug</t>
  </si>
  <si>
    <t xml:space="preserve">UAT-TM-03</t>
  </si>
  <si>
    <t xml:space="preserve">UAT runner step 2.5 tenant context resolution</t>
  </si>
  <si>
    <t xml:space="preserve">docs/agents/UAT_RUNNER.md</t>
  </si>
  <si>
    <t xml:space="preserve">UAT-TM-04</t>
  </si>
  <si>
    <t xml:space="preserve">Scenario schema company_id auto-resolution guidance</t>
  </si>
  <si>
    <t xml:space="preserve">docs/agents/uat-scenario-schema.md</t>
  </si>
  <si>
    <t xml:space="preserve">None</t>
  </si>
  <si>
    <t xml:space="preserve">ISS-204</t>
  </si>
  <si>
    <t xml:space="preserve">feature/WF02-iss204-206-20260611</t>
  </si>
  <si>
    <t xml:space="preserve">ISS-206</t>
  </si>
  <si>
    <t xml:space="preserve">Open tracked items + Borrowing backlog (what is left to do)</t>
  </si>
  <si>
    <t xml:space="preserve">Track/Phase</t>
  </si>
  <si>
    <t xml:space="preserve">Note</t>
  </si>
  <si>
    <t xml:space="preserve">(open – existing)</t>
  </si>
  <si>
    <t xml:space="preserve">Schema-per-tenant cutover / correctness — finish &amp; release</t>
  </si>
  <si>
    <t xml:space="preserve">A0</t>
  </si>
  <si>
    <t xml:space="preserve">BRW-OPS-1</t>
  </si>
  <si>
    <t xml:space="preserve">Stated scale anchor</t>
  </si>
  <si>
    <t xml:space="preserve">Doc; gates engine caps</t>
  </si>
  <si>
    <t xml:space="preserve">BRW-OPS-3</t>
  </si>
  <si>
    <t xml:space="preserve">Written sandbox threat model (Lua+Wasm+agent)</t>
  </si>
  <si>
    <t xml:space="preserve">Doc; gates agent-authored prod code</t>
  </si>
  <si>
    <t xml:space="preserve">A1</t>
  </si>
  <si>
    <t xml:space="preserve">BRW-ENG-1</t>
  </si>
  <si>
    <t xml:space="preserve">Formalized per-node retry policy + deterministic budget</t>
  </si>
  <si>
    <t xml:space="preserve">Partly via DLQ/EXP-301 — verify</t>
  </si>
  <si>
    <t xml:space="preserve">BRW-ENG-2</t>
  </si>
  <si>
    <t xml:space="preserve">Failed-instance lifecycle (out-of-band log, retry/cancel)</t>
  </si>
  <si>
    <t xml:space="preserve">Verify vs current engine/DLQ</t>
  </si>
  <si>
    <t xml:space="preserve">BRW-ENG-3</t>
  </si>
  <si>
    <t xml:space="preserve">Parallel-branch failure isolation (join blocks)</t>
  </si>
  <si>
    <t xml:space="preserve">Verify vs current engine</t>
  </si>
  <si>
    <t xml:space="preserve">A2</t>
  </si>
  <si>
    <t xml:space="preserve">BRW-ENG-4</t>
  </si>
  <si>
    <t xml:space="preserve">Compensation + error-boundary constructs</t>
  </si>
  <si>
    <t xml:space="preserve">LIKELY DONE</t>
  </si>
  <si>
    <t xml:space="preserve">EXP-401 RELEASED 6/13 — verify parity</t>
  </si>
  <si>
    <t xml:space="preserve">BRW-ENG-5</t>
  </si>
  <si>
    <t xml:space="preserve">Restore reconciliation + instance_waits</t>
  </si>
  <si>
    <t xml:space="preserve">EXP-402/103 RELEASED — verify parity</t>
  </si>
  <si>
    <t xml:space="preserve">A3</t>
  </si>
  <si>
    <t xml:space="preserve">BRW-SEC-1</t>
  </si>
  <si>
    <t xml:space="preserve">HMAC ingress key rotation w/ grace window</t>
  </si>
  <si>
    <t xml:space="preserve">Extend src/secrets (base shipped)</t>
  </si>
  <si>
    <t xml:space="preserve">BRW-EFX-1</t>
  </si>
  <si>
    <t xml:space="preserve">Async-effects coverage + per-endpoint circuit breaker</t>
  </si>
  <si>
    <t xml:space="preserve">MOSTLY DONE</t>
  </si>
  <si>
    <t xml:space="preserve">EXP-301/302/303 shipped; breaker [S] new</t>
  </si>
  <si>
    <t xml:space="preserve">BRW-SAGA-1</t>
  </si>
  <si>
    <t xml:space="preserve">Extract generic minimal saga runner</t>
  </si>
  <si>
    <t xml:space="preserve">Refactor onboarding routes</t>
  </si>
  <si>
    <t xml:space="preserve">BRW-OPS-2</t>
  </si>
  <si>
    <t xml:space="preserve">Tier-&gt;quota model coverage</t>
  </si>
  <si>
    <t xml:space="preserve">EXP-601 shipped; verify dimensions</t>
  </si>
  <si>
    <t xml:space="preserve">A4</t>
  </si>
  <si>
    <t xml:space="preserve">BRW-OPS-4</t>
  </si>
  <si>
    <t xml:space="preserve">Ephemeral throwaway-sandbox tier (agent loop)</t>
  </si>
  <si>
    <t xml:space="preserve">Conditional on agent-authoring roadmap</t>
  </si>
  <si>
    <t xml:space="preserve">M1</t>
  </si>
  <si>
    <t xml:space="preserve">BRW-MOB-1</t>
  </si>
  <si>
    <t xml:space="preserve">Generic definition-interpreter mobile app</t>
  </si>
  <si>
    <t xml:space="preserve">Greenfield Flutter — largest gap</t>
  </si>
  <si>
    <t xml:space="preserve">M2</t>
  </si>
  <si>
    <t xml:space="preserve">BRW-MOB-2</t>
  </si>
  <si>
    <t xml:space="preserve">Tenant bootstrap (slug-&gt;config-&gt;OIDC PKCE)</t>
  </si>
  <si>
    <t xml:space="preserve">Needs tenant-config endpoint (verify)</t>
  </si>
  <si>
    <t xml:space="preserve">M3</t>
  </si>
  <si>
    <t xml:space="preserve">BRW-MOB-5</t>
  </si>
  <si>
    <t xml:space="preserve">On-device security (secure token storage)</t>
  </si>
  <si>
    <t xml:space="preserve">M4</t>
  </si>
  <si>
    <t xml:space="preserve">BRW-MOB-3</t>
  </si>
  <si>
    <t xml:space="preserve">Offline definition cache + delta sync + pinning</t>
  </si>
  <si>
    <t xml:space="preserve">May need /definitions/delta endpoint</t>
  </si>
  <si>
    <t xml:space="preserve">M5</t>
  </si>
  <si>
    <t xml:space="preserve">BRW-MOB-4</t>
  </si>
  <si>
    <t xml:space="preserve">Generic renderers + six mandatory states</t>
  </si>
  <si>
    <t xml:space="preserve">Reuses SPA contracts</t>
  </si>
  <si>
    <t xml:space="preserve">M6</t>
  </si>
  <si>
    <t xml:space="preserve">BRW-MOB-6</t>
  </si>
  <si>
    <t xml:space="preserve">API client (auth/refresh/retry/typed errors)</t>
  </si>
  <si>
    <t xml:space="preserve">M7</t>
  </si>
  <si>
    <t xml:space="preserve">BRW-MOB-7</t>
  </si>
  <si>
    <t xml:space="preserve">i18n (reuse SPA locale policy)</t>
  </si>
  <si>
    <t xml:space="preserve">M8</t>
  </si>
  <si>
    <t xml:space="preserve">BRW-MOB-8</t>
  </si>
  <si>
    <t xml:space="preserve">Enforce v1 scope boundary (online-first)</t>
  </si>
  <si>
    <t xml:space="preserve">Defer offline writes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</si>
</sst>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5" t="s">
        <v>9</v>
      </c>
      <c r="B11" s="4" t="n">
        <f aca="false">COUNTIF('All Requirements'!F:F,"RELEASED")</f>
        <v>307</v>
      </c>
      <c r="D11" s="5" t="s">
        <v>9</v>
      </c>
      <c r="E11" s="4" t="s">
        <v>10</v>
      </c>
    </row>
    <row r="12" customFormat="false" ht="15" hidden="false" customHeight="false" outlineLevel="0" collapsed="false">
      <c r="A12" s="6" t="s">
        <v>11</v>
      </c>
      <c r="B12" s="4" t="n">
        <f aca="false">COUNTIF('All Requirements'!F:F,"IMPLEMENTED")</f>
        <v>4</v>
      </c>
      <c r="D12" s="7" t="s">
        <v>12</v>
      </c>
      <c r="E12" s="4" t="s">
        <v>13</v>
      </c>
    </row>
    <row r="13" customFormat="false" ht="15" hidden="false" customHeight="false" outlineLevel="0" collapsed="false">
      <c r="A13" s="7" t="s">
        <v>12</v>
      </c>
      <c r="B13" s="4" t="n">
        <f aca="false">COUNTIF('All Requirements'!F:F,"TESTED")</f>
        <v>1</v>
      </c>
      <c r="D13" s="6" t="s">
        <v>11</v>
      </c>
      <c r="E13" s="4" t="s">
        <v>14</v>
      </c>
    </row>
    <row r="14" customFormat="false" ht="15" hidden="false" customHeight="false" outlineLevel="0" collapsed="false">
      <c r="A14" s="8" t="s">
        <v>15</v>
      </c>
      <c r="B14" s="4" t="n">
        <f aca="false">COUNTIF('All Requirements'!F:F,"PENDING")</f>
        <v>3</v>
      </c>
      <c r="D14" s="8" t="s">
        <v>15</v>
      </c>
      <c r="E14" s="4" t="s">
        <v>16</v>
      </c>
    </row>
    <row r="15" customFormat="false" ht="15" hidden="false" customHeight="false" outlineLevel="0" collapsed="false">
      <c r="A15" s="3" t="s">
        <v>17</v>
      </c>
      <c r="B15" s="3" t="n">
        <f aca="false">SUM(B11:B14)</f>
        <v>315</v>
      </c>
      <c r="D15" s="9" t="s">
        <v>18</v>
      </c>
      <c r="E15" s="4" t="s">
        <v>19</v>
      </c>
    </row>
    <row r="16" customFormat="false" ht="15" hidden="false" customHeight="false" outlineLevel="0" collapsed="false">
      <c r="D16" s="10" t="s">
        <v>20</v>
      </c>
      <c r="E16" s="4" t="s">
        <v>21</v>
      </c>
    </row>
    <row r="17" customFormat="false" ht="15" hidden="false" customHeight="false" outlineLevel="0" collapsed="false">
      <c r="A17" s="3" t="s">
        <v>22</v>
      </c>
      <c r="D17" s="11" t="s">
        <v>23</v>
      </c>
      <c r="E17" s="4" t="s">
        <v>24</v>
      </c>
    </row>
    <row r="18" customFormat="false" ht="15" hidden="false" customHeight="false" outlineLevel="0" collapsed="false">
      <c r="A18" s="4" t="s">
        <v>25</v>
      </c>
      <c r="B18" s="6" t="s">
        <v>11</v>
      </c>
      <c r="C18" s="4" t="s">
        <v>26</v>
      </c>
    </row>
    <row r="19" customFormat="false" ht="15" hidden="false" customHeight="false" outlineLevel="0" collapsed="false">
      <c r="A19" s="4" t="s">
        <v>27</v>
      </c>
      <c r="B19" s="6" t="s">
        <v>11</v>
      </c>
      <c r="C19" s="4" t="s">
        <v>28</v>
      </c>
    </row>
    <row r="20" customFormat="false" ht="15" hidden="false" customHeight="false" outlineLevel="0" collapsed="false">
      <c r="A20" s="4" t="s">
        <v>29</v>
      </c>
      <c r="B20" s="6" t="s">
        <v>11</v>
      </c>
      <c r="C20" s="4" t="s">
        <v>30</v>
      </c>
    </row>
    <row r="21" customFormat="false" ht="15" hidden="false" customHeight="false" outlineLevel="0" collapsed="false">
      <c r="A21" s="4" t="s">
        <v>31</v>
      </c>
      <c r="B21" s="6" t="s">
        <v>11</v>
      </c>
      <c r="C21" s="4" t="s">
        <v>32</v>
      </c>
    </row>
    <row r="22" customFormat="false" ht="15" hidden="false" customHeight="false" outlineLevel="0" collapsed="false">
      <c r="A22" s="4" t="s">
        <v>33</v>
      </c>
      <c r="B22" s="7" t="s">
        <v>12</v>
      </c>
      <c r="C22" s="4" t="s">
        <v>34</v>
      </c>
    </row>
    <row r="23" customFormat="false" ht="15" hidden="false" customHeight="false" outlineLevel="0" collapsed="false">
      <c r="A23" s="4" t="s">
        <v>35</v>
      </c>
      <c r="B23" s="8" t="s">
        <v>15</v>
      </c>
      <c r="C23" s="4" t="s">
        <v>36</v>
      </c>
    </row>
    <row r="24" customFormat="false" ht="15" hidden="false" customHeight="false" outlineLevel="0" collapsed="false">
      <c r="A24" s="4" t="s">
        <v>37</v>
      </c>
      <c r="B24" s="8" t="s">
        <v>15</v>
      </c>
      <c r="C24" s="4" t="s">
        <v>38</v>
      </c>
    </row>
    <row r="25" customFormat="false" ht="15" hidden="false" customHeight="false" outlineLevel="0" collapsed="false">
      <c r="A25" s="4" t="s">
        <v>39</v>
      </c>
      <c r="B25" s="8" t="s">
        <v>15</v>
      </c>
      <c r="C25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</row>
    <row r="2" customFormat="false" ht="15" hidden="false" customHeight="false" outlineLevel="0" collapsed="false">
      <c r="A2" s="13" t="n">
        <v>1</v>
      </c>
      <c r="B2" s="13" t="s">
        <v>48</v>
      </c>
      <c r="C2" s="13" t="s">
        <v>49</v>
      </c>
      <c r="D2" s="14" t="s">
        <v>50</v>
      </c>
      <c r="E2" s="13" t="s">
        <v>51</v>
      </c>
      <c r="F2" s="15" t="s">
        <v>9</v>
      </c>
      <c r="G2" s="14" t="s">
        <v>52</v>
      </c>
    </row>
    <row r="3" customFormat="false" ht="15" hidden="false" customHeight="false" outlineLevel="0" collapsed="false">
      <c r="A3" s="13" t="n">
        <v>2</v>
      </c>
      <c r="B3" s="13" t="s">
        <v>48</v>
      </c>
      <c r="C3" s="13" t="s">
        <v>53</v>
      </c>
      <c r="D3" s="14" t="s">
        <v>54</v>
      </c>
      <c r="E3" s="13" t="s">
        <v>51</v>
      </c>
      <c r="F3" s="15" t="s">
        <v>9</v>
      </c>
      <c r="G3" s="14" t="s">
        <v>55</v>
      </c>
    </row>
    <row r="4" customFormat="false" ht="15" hidden="false" customHeight="false" outlineLevel="0" collapsed="false">
      <c r="A4" s="13" t="n">
        <v>3</v>
      </c>
      <c r="B4" s="13" t="s">
        <v>48</v>
      </c>
      <c r="C4" s="13" t="s">
        <v>56</v>
      </c>
      <c r="D4" s="14" t="s">
        <v>57</v>
      </c>
      <c r="E4" s="13" t="s">
        <v>51</v>
      </c>
      <c r="F4" s="15" t="s">
        <v>9</v>
      </c>
      <c r="G4" s="14" t="s">
        <v>58</v>
      </c>
    </row>
    <row r="5" customFormat="false" ht="15" hidden="false" customHeight="false" outlineLevel="0" collapsed="false">
      <c r="A5" s="13" t="n">
        <v>4</v>
      </c>
      <c r="B5" s="13" t="s">
        <v>48</v>
      </c>
      <c r="C5" s="13" t="s">
        <v>59</v>
      </c>
      <c r="D5" s="14" t="s">
        <v>60</v>
      </c>
      <c r="E5" s="13" t="s">
        <v>51</v>
      </c>
      <c r="F5" s="15" t="s">
        <v>9</v>
      </c>
      <c r="G5" s="14" t="s">
        <v>55</v>
      </c>
    </row>
    <row r="6" customFormat="false" ht="15" hidden="false" customHeight="false" outlineLevel="0" collapsed="false">
      <c r="A6" s="13" t="n">
        <v>5</v>
      </c>
      <c r="B6" s="13" t="s">
        <v>48</v>
      </c>
      <c r="C6" s="13" t="s">
        <v>61</v>
      </c>
      <c r="D6" s="14" t="s">
        <v>62</v>
      </c>
      <c r="E6" s="13" t="s">
        <v>51</v>
      </c>
      <c r="F6" s="15" t="s">
        <v>9</v>
      </c>
      <c r="G6" s="14" t="s">
        <v>63</v>
      </c>
    </row>
    <row r="7" customFormat="false" ht="15" hidden="false" customHeight="false" outlineLevel="0" collapsed="false">
      <c r="A7" s="13" t="n">
        <v>6</v>
      </c>
      <c r="B7" s="13" t="s">
        <v>48</v>
      </c>
      <c r="C7" s="13" t="s">
        <v>64</v>
      </c>
      <c r="D7" s="14" t="s">
        <v>65</v>
      </c>
      <c r="E7" s="13" t="s">
        <v>51</v>
      </c>
      <c r="F7" s="15" t="s">
        <v>9</v>
      </c>
      <c r="G7" s="14" t="s">
        <v>63</v>
      </c>
    </row>
    <row r="8" customFormat="false" ht="15" hidden="false" customHeight="false" outlineLevel="0" collapsed="false">
      <c r="A8" s="13" t="n">
        <v>7</v>
      </c>
      <c r="B8" s="13" t="s">
        <v>48</v>
      </c>
      <c r="C8" s="13" t="s">
        <v>66</v>
      </c>
      <c r="D8" s="14" t="s">
        <v>67</v>
      </c>
      <c r="E8" s="13" t="s">
        <v>51</v>
      </c>
      <c r="F8" s="15" t="s">
        <v>9</v>
      </c>
      <c r="G8" s="14" t="s">
        <v>63</v>
      </c>
    </row>
    <row r="9" customFormat="false" ht="15" hidden="false" customHeight="false" outlineLevel="0" collapsed="false">
      <c r="A9" s="13" t="n">
        <v>8</v>
      </c>
      <c r="B9" s="13" t="s">
        <v>48</v>
      </c>
      <c r="C9" s="13" t="s">
        <v>68</v>
      </c>
      <c r="D9" s="14" t="s">
        <v>69</v>
      </c>
      <c r="E9" s="13" t="s">
        <v>51</v>
      </c>
      <c r="F9" s="15" t="s">
        <v>9</v>
      </c>
      <c r="G9" s="14" t="s">
        <v>63</v>
      </c>
    </row>
    <row r="10" customFormat="false" ht="15" hidden="false" customHeight="false" outlineLevel="0" collapsed="false">
      <c r="A10" s="13" t="n">
        <v>9</v>
      </c>
      <c r="B10" s="13" t="s">
        <v>48</v>
      </c>
      <c r="C10" s="13" t="s">
        <v>70</v>
      </c>
      <c r="D10" s="14" t="s">
        <v>71</v>
      </c>
      <c r="E10" s="13" t="s">
        <v>51</v>
      </c>
      <c r="F10" s="15" t="s">
        <v>9</v>
      </c>
      <c r="G10" s="14" t="s">
        <v>72</v>
      </c>
    </row>
    <row r="11" customFormat="false" ht="15" hidden="false" customHeight="false" outlineLevel="0" collapsed="false">
      <c r="A11" s="13" t="n">
        <v>10</v>
      </c>
      <c r="B11" s="13" t="s">
        <v>48</v>
      </c>
      <c r="C11" s="13" t="s">
        <v>73</v>
      </c>
      <c r="D11" s="14" t="s">
        <v>74</v>
      </c>
      <c r="E11" s="13" t="s">
        <v>51</v>
      </c>
      <c r="F11" s="15" t="s">
        <v>9</v>
      </c>
      <c r="G11" s="14" t="s">
        <v>63</v>
      </c>
    </row>
    <row r="12" customFormat="false" ht="15" hidden="false" customHeight="false" outlineLevel="0" collapsed="false">
      <c r="A12" s="13" t="n">
        <v>11</v>
      </c>
      <c r="B12" s="13" t="s">
        <v>48</v>
      </c>
      <c r="C12" s="13" t="s">
        <v>75</v>
      </c>
      <c r="D12" s="14" t="s">
        <v>76</v>
      </c>
      <c r="E12" s="13" t="s">
        <v>77</v>
      </c>
      <c r="F12" s="15" t="s">
        <v>9</v>
      </c>
      <c r="G12" s="14" t="s">
        <v>63</v>
      </c>
    </row>
    <row r="13" customFormat="false" ht="15" hidden="false" customHeight="false" outlineLevel="0" collapsed="false">
      <c r="A13" s="13" t="n">
        <v>12</v>
      </c>
      <c r="B13" s="13" t="s">
        <v>48</v>
      </c>
      <c r="C13" s="13" t="s">
        <v>78</v>
      </c>
      <c r="D13" s="14" t="s">
        <v>79</v>
      </c>
      <c r="E13" s="13" t="s">
        <v>77</v>
      </c>
      <c r="F13" s="15" t="s">
        <v>9</v>
      </c>
      <c r="G13" s="14" t="s">
        <v>63</v>
      </c>
    </row>
    <row r="14" customFormat="false" ht="15" hidden="false" customHeight="false" outlineLevel="0" collapsed="false">
      <c r="A14" s="13" t="n">
        <v>13</v>
      </c>
      <c r="B14" s="13" t="s">
        <v>80</v>
      </c>
      <c r="C14" s="13" t="s">
        <v>81</v>
      </c>
      <c r="D14" s="14" t="s">
        <v>82</v>
      </c>
      <c r="E14" s="13" t="s">
        <v>51</v>
      </c>
      <c r="F14" s="15" t="s">
        <v>9</v>
      </c>
      <c r="G14" s="14" t="s">
        <v>83</v>
      </c>
    </row>
    <row r="15" customFormat="false" ht="15" hidden="false" customHeight="false" outlineLevel="0" collapsed="false">
      <c r="A15" s="13" t="n">
        <v>14</v>
      </c>
      <c r="B15" s="13" t="s">
        <v>80</v>
      </c>
      <c r="C15" s="13" t="s">
        <v>84</v>
      </c>
      <c r="D15" s="14" t="s">
        <v>85</v>
      </c>
      <c r="E15" s="13" t="s">
        <v>51</v>
      </c>
      <c r="F15" s="15" t="s">
        <v>9</v>
      </c>
      <c r="G15" s="14" t="s">
        <v>83</v>
      </c>
    </row>
    <row r="16" customFormat="false" ht="15" hidden="false" customHeight="false" outlineLevel="0" collapsed="false">
      <c r="A16" s="13" t="n">
        <v>15</v>
      </c>
      <c r="B16" s="13" t="s">
        <v>80</v>
      </c>
      <c r="C16" s="13" t="s">
        <v>86</v>
      </c>
      <c r="D16" s="14" t="s">
        <v>87</v>
      </c>
      <c r="E16" s="13" t="s">
        <v>51</v>
      </c>
      <c r="F16" s="15" t="s">
        <v>9</v>
      </c>
      <c r="G16" s="14" t="s">
        <v>88</v>
      </c>
    </row>
    <row r="17" customFormat="false" ht="23.85" hidden="false" customHeight="false" outlineLevel="0" collapsed="false">
      <c r="A17" s="13" t="n">
        <v>16</v>
      </c>
      <c r="B17" s="13" t="s">
        <v>80</v>
      </c>
      <c r="C17" s="13" t="s">
        <v>89</v>
      </c>
      <c r="D17" s="14" t="s">
        <v>90</v>
      </c>
      <c r="E17" s="13" t="s">
        <v>51</v>
      </c>
      <c r="F17" s="15" t="s">
        <v>9</v>
      </c>
      <c r="G17" s="14" t="s">
        <v>91</v>
      </c>
    </row>
    <row r="18" customFormat="false" ht="15" hidden="false" customHeight="false" outlineLevel="0" collapsed="false">
      <c r="A18" s="13" t="n">
        <v>17</v>
      </c>
      <c r="B18" s="13" t="s">
        <v>80</v>
      </c>
      <c r="C18" s="13" t="s">
        <v>92</v>
      </c>
      <c r="D18" s="14" t="s">
        <v>93</v>
      </c>
      <c r="E18" s="13" t="s">
        <v>51</v>
      </c>
      <c r="F18" s="15" t="s">
        <v>9</v>
      </c>
      <c r="G18" s="14" t="s">
        <v>94</v>
      </c>
    </row>
    <row r="19" customFormat="false" ht="15" hidden="false" customHeight="false" outlineLevel="0" collapsed="false">
      <c r="A19" s="13" t="n">
        <v>18</v>
      </c>
      <c r="B19" s="13" t="s">
        <v>80</v>
      </c>
      <c r="C19" s="13" t="s">
        <v>95</v>
      </c>
      <c r="D19" s="14" t="s">
        <v>96</v>
      </c>
      <c r="E19" s="13" t="s">
        <v>51</v>
      </c>
      <c r="F19" s="15" t="s">
        <v>9</v>
      </c>
      <c r="G19" s="14" t="s">
        <v>94</v>
      </c>
    </row>
    <row r="20" customFormat="false" ht="35.05" hidden="false" customHeight="false" outlineLevel="0" collapsed="false">
      <c r="A20" s="13" t="n">
        <v>19</v>
      </c>
      <c r="B20" s="13" t="s">
        <v>80</v>
      </c>
      <c r="C20" s="13" t="s">
        <v>97</v>
      </c>
      <c r="D20" s="14" t="s">
        <v>98</v>
      </c>
      <c r="E20" s="13" t="s">
        <v>51</v>
      </c>
      <c r="F20" s="15" t="s">
        <v>9</v>
      </c>
      <c r="G20" s="14" t="s">
        <v>99</v>
      </c>
    </row>
    <row r="21" customFormat="false" ht="15" hidden="false" customHeight="false" outlineLevel="0" collapsed="false">
      <c r="A21" s="13" t="n">
        <v>20</v>
      </c>
      <c r="B21" s="13" t="s">
        <v>80</v>
      </c>
      <c r="C21" s="13" t="s">
        <v>100</v>
      </c>
      <c r="D21" s="14" t="s">
        <v>101</v>
      </c>
      <c r="E21" s="13" t="s">
        <v>51</v>
      </c>
      <c r="F21" s="15" t="s">
        <v>9</v>
      </c>
      <c r="G21" s="14" t="s">
        <v>102</v>
      </c>
    </row>
    <row r="22" customFormat="false" ht="23.85" hidden="false" customHeight="false" outlineLevel="0" collapsed="false">
      <c r="A22" s="13" t="n">
        <v>21</v>
      </c>
      <c r="B22" s="13" t="s">
        <v>80</v>
      </c>
      <c r="C22" s="13" t="s">
        <v>103</v>
      </c>
      <c r="D22" s="14" t="s">
        <v>104</v>
      </c>
      <c r="E22" s="13" t="s">
        <v>77</v>
      </c>
      <c r="F22" s="15" t="s">
        <v>9</v>
      </c>
      <c r="G22" s="14" t="s">
        <v>105</v>
      </c>
    </row>
    <row r="23" customFormat="false" ht="23.85" hidden="false" customHeight="false" outlineLevel="0" collapsed="false">
      <c r="A23" s="13" t="n">
        <v>22</v>
      </c>
      <c r="B23" s="13" t="s">
        <v>80</v>
      </c>
      <c r="C23" s="13" t="s">
        <v>106</v>
      </c>
      <c r="D23" s="14" t="s">
        <v>107</v>
      </c>
      <c r="E23" s="13" t="s">
        <v>108</v>
      </c>
      <c r="F23" s="15" t="s">
        <v>9</v>
      </c>
      <c r="G23" s="14" t="s">
        <v>91</v>
      </c>
    </row>
    <row r="24" customFormat="false" ht="68.65" hidden="false" customHeight="false" outlineLevel="0" collapsed="false">
      <c r="A24" s="13" t="n">
        <v>23</v>
      </c>
      <c r="B24" s="13" t="s">
        <v>109</v>
      </c>
      <c r="C24" s="13" t="s">
        <v>110</v>
      </c>
      <c r="D24" s="14" t="s">
        <v>111</v>
      </c>
      <c r="E24" s="13" t="s">
        <v>51</v>
      </c>
      <c r="F24" s="15" t="s">
        <v>9</v>
      </c>
      <c r="G24" s="14" t="s">
        <v>112</v>
      </c>
    </row>
    <row r="25" customFormat="false" ht="23.85" hidden="false" customHeight="false" outlineLevel="0" collapsed="false">
      <c r="A25" s="13" t="n">
        <v>24</v>
      </c>
      <c r="B25" s="13" t="s">
        <v>109</v>
      </c>
      <c r="C25" s="13" t="s">
        <v>113</v>
      </c>
      <c r="D25" s="14" t="s">
        <v>114</v>
      </c>
      <c r="E25" s="13" t="s">
        <v>51</v>
      </c>
      <c r="F25" s="15" t="s">
        <v>9</v>
      </c>
      <c r="G25" s="14" t="s">
        <v>115</v>
      </c>
    </row>
    <row r="26" customFormat="false" ht="68.65" hidden="false" customHeight="false" outlineLevel="0" collapsed="false">
      <c r="A26" s="13" t="n">
        <v>25</v>
      </c>
      <c r="B26" s="13" t="s">
        <v>109</v>
      </c>
      <c r="C26" s="13" t="s">
        <v>116</v>
      </c>
      <c r="D26" s="14" t="s">
        <v>117</v>
      </c>
      <c r="E26" s="13" t="s">
        <v>51</v>
      </c>
      <c r="F26" s="15" t="s">
        <v>9</v>
      </c>
      <c r="G26" s="14" t="s">
        <v>118</v>
      </c>
    </row>
    <row r="27" customFormat="false" ht="23.85" hidden="false" customHeight="false" outlineLevel="0" collapsed="false">
      <c r="A27" s="13" t="n">
        <v>26</v>
      </c>
      <c r="B27" s="13" t="s">
        <v>109</v>
      </c>
      <c r="C27" s="13" t="s">
        <v>119</v>
      </c>
      <c r="D27" s="14" t="s">
        <v>120</v>
      </c>
      <c r="E27" s="13" t="s">
        <v>51</v>
      </c>
      <c r="F27" s="15" t="s">
        <v>9</v>
      </c>
      <c r="G27" s="14" t="s">
        <v>121</v>
      </c>
    </row>
    <row r="28" customFormat="false" ht="15" hidden="false" customHeight="false" outlineLevel="0" collapsed="false">
      <c r="A28" s="13" t="n">
        <v>27</v>
      </c>
      <c r="B28" s="13" t="s">
        <v>109</v>
      </c>
      <c r="C28" s="13" t="s">
        <v>122</v>
      </c>
      <c r="D28" s="14" t="s">
        <v>123</v>
      </c>
      <c r="E28" s="13" t="s">
        <v>51</v>
      </c>
      <c r="F28" s="15" t="s">
        <v>9</v>
      </c>
      <c r="G28" s="14" t="s">
        <v>124</v>
      </c>
    </row>
    <row r="29" customFormat="false" ht="15" hidden="false" customHeight="false" outlineLevel="0" collapsed="false">
      <c r="A29" s="13" t="n">
        <v>28</v>
      </c>
      <c r="B29" s="13" t="s">
        <v>109</v>
      </c>
      <c r="C29" s="13" t="s">
        <v>125</v>
      </c>
      <c r="D29" s="14" t="s">
        <v>126</v>
      </c>
      <c r="E29" s="13" t="s">
        <v>51</v>
      </c>
      <c r="F29" s="15" t="s">
        <v>9</v>
      </c>
      <c r="G29" s="14" t="s">
        <v>127</v>
      </c>
    </row>
    <row r="30" customFormat="false" ht="15" hidden="false" customHeight="false" outlineLevel="0" collapsed="false">
      <c r="A30" s="13" t="n">
        <v>29</v>
      </c>
      <c r="B30" s="13" t="s">
        <v>109</v>
      </c>
      <c r="C30" s="13" t="s">
        <v>128</v>
      </c>
      <c r="D30" s="14" t="s">
        <v>129</v>
      </c>
      <c r="E30" s="13" t="s">
        <v>51</v>
      </c>
      <c r="F30" s="15" t="s">
        <v>9</v>
      </c>
      <c r="G30" s="14" t="s">
        <v>127</v>
      </c>
    </row>
    <row r="31" customFormat="false" ht="15" hidden="false" customHeight="false" outlineLevel="0" collapsed="false">
      <c r="A31" s="13" t="n">
        <v>30</v>
      </c>
      <c r="B31" s="13" t="s">
        <v>109</v>
      </c>
      <c r="C31" s="13" t="s">
        <v>130</v>
      </c>
      <c r="D31" s="14" t="s">
        <v>131</v>
      </c>
      <c r="E31" s="13" t="s">
        <v>51</v>
      </c>
      <c r="F31" s="15" t="s">
        <v>9</v>
      </c>
      <c r="G31" s="14" t="s">
        <v>132</v>
      </c>
    </row>
    <row r="32" customFormat="false" ht="68.65" hidden="false" customHeight="false" outlineLevel="0" collapsed="false">
      <c r="A32" s="13" t="n">
        <v>31</v>
      </c>
      <c r="B32" s="13" t="s">
        <v>109</v>
      </c>
      <c r="C32" s="13" t="s">
        <v>133</v>
      </c>
      <c r="D32" s="14" t="s">
        <v>134</v>
      </c>
      <c r="E32" s="13" t="s">
        <v>51</v>
      </c>
      <c r="F32" s="15" t="s">
        <v>9</v>
      </c>
      <c r="G32" s="14" t="s">
        <v>135</v>
      </c>
    </row>
    <row r="33" customFormat="false" ht="15" hidden="false" customHeight="false" outlineLevel="0" collapsed="false">
      <c r="A33" s="13" t="n">
        <v>32</v>
      </c>
      <c r="B33" s="13" t="s">
        <v>109</v>
      </c>
      <c r="C33" s="13" t="s">
        <v>136</v>
      </c>
      <c r="D33" s="14" t="s">
        <v>137</v>
      </c>
      <c r="E33" s="13" t="s">
        <v>51</v>
      </c>
      <c r="F33" s="15" t="s">
        <v>9</v>
      </c>
      <c r="G33" s="14" t="s">
        <v>132</v>
      </c>
    </row>
    <row r="34" customFormat="false" ht="68.65" hidden="false" customHeight="false" outlineLevel="0" collapsed="false">
      <c r="A34" s="13" t="n">
        <v>33</v>
      </c>
      <c r="B34" s="13" t="s">
        <v>109</v>
      </c>
      <c r="C34" s="13" t="s">
        <v>138</v>
      </c>
      <c r="D34" s="14" t="s">
        <v>139</v>
      </c>
      <c r="E34" s="13" t="s">
        <v>51</v>
      </c>
      <c r="F34" s="15" t="s">
        <v>9</v>
      </c>
      <c r="G34" s="14" t="s">
        <v>140</v>
      </c>
    </row>
    <row r="35" customFormat="false" ht="15" hidden="false" customHeight="false" outlineLevel="0" collapsed="false">
      <c r="A35" s="13" t="n">
        <v>34</v>
      </c>
      <c r="B35" s="13" t="s">
        <v>109</v>
      </c>
      <c r="C35" s="13" t="s">
        <v>141</v>
      </c>
      <c r="D35" s="14" t="s">
        <v>142</v>
      </c>
      <c r="E35" s="13" t="s">
        <v>51</v>
      </c>
      <c r="F35" s="15" t="s">
        <v>9</v>
      </c>
      <c r="G35" s="14" t="s">
        <v>143</v>
      </c>
    </row>
    <row r="36" customFormat="false" ht="35.05" hidden="false" customHeight="false" outlineLevel="0" collapsed="false">
      <c r="A36" s="13" t="n">
        <v>35</v>
      </c>
      <c r="B36" s="13" t="s">
        <v>144</v>
      </c>
      <c r="C36" s="13" t="s">
        <v>145</v>
      </c>
      <c r="D36" s="14" t="s">
        <v>146</v>
      </c>
      <c r="E36" s="13" t="s">
        <v>51</v>
      </c>
      <c r="F36" s="15" t="s">
        <v>9</v>
      </c>
      <c r="G36" s="14" t="s">
        <v>147</v>
      </c>
    </row>
    <row r="37" customFormat="false" ht="15" hidden="false" customHeight="false" outlineLevel="0" collapsed="false">
      <c r="A37" s="13" t="n">
        <v>36</v>
      </c>
      <c r="B37" s="13" t="s">
        <v>144</v>
      </c>
      <c r="C37" s="13" t="s">
        <v>148</v>
      </c>
      <c r="D37" s="14" t="s">
        <v>149</v>
      </c>
      <c r="E37" s="13" t="s">
        <v>51</v>
      </c>
      <c r="F37" s="15" t="s">
        <v>9</v>
      </c>
      <c r="G37" s="14" t="s">
        <v>150</v>
      </c>
    </row>
    <row r="38" customFormat="false" ht="23.85" hidden="false" customHeight="false" outlineLevel="0" collapsed="false">
      <c r="A38" s="13" t="n">
        <v>37</v>
      </c>
      <c r="B38" s="13" t="s">
        <v>144</v>
      </c>
      <c r="C38" s="13" t="s">
        <v>151</v>
      </c>
      <c r="D38" s="14" t="s">
        <v>152</v>
      </c>
      <c r="E38" s="13" t="s">
        <v>51</v>
      </c>
      <c r="F38" s="15" t="s">
        <v>9</v>
      </c>
      <c r="G38" s="14" t="s">
        <v>153</v>
      </c>
    </row>
    <row r="39" customFormat="false" ht="15" hidden="false" customHeight="false" outlineLevel="0" collapsed="false">
      <c r="A39" s="13" t="n">
        <v>38</v>
      </c>
      <c r="B39" s="13" t="s">
        <v>144</v>
      </c>
      <c r="C39" s="13" t="s">
        <v>154</v>
      </c>
      <c r="D39" s="14" t="s">
        <v>155</v>
      </c>
      <c r="E39" s="13" t="s">
        <v>51</v>
      </c>
      <c r="F39" s="15" t="s">
        <v>9</v>
      </c>
      <c r="G39" s="14" t="s">
        <v>156</v>
      </c>
    </row>
    <row r="40" customFormat="false" ht="23.85" hidden="false" customHeight="false" outlineLevel="0" collapsed="false">
      <c r="A40" s="13" t="n">
        <v>39</v>
      </c>
      <c r="B40" s="13" t="s">
        <v>144</v>
      </c>
      <c r="C40" s="13" t="s">
        <v>157</v>
      </c>
      <c r="D40" s="14" t="s">
        <v>158</v>
      </c>
      <c r="E40" s="13" t="s">
        <v>51</v>
      </c>
      <c r="F40" s="15" t="s">
        <v>9</v>
      </c>
      <c r="G40" s="14" t="s">
        <v>159</v>
      </c>
    </row>
    <row r="41" customFormat="false" ht="15" hidden="false" customHeight="false" outlineLevel="0" collapsed="false">
      <c r="A41" s="13" t="n">
        <v>40</v>
      </c>
      <c r="B41" s="13" t="s">
        <v>144</v>
      </c>
      <c r="C41" s="13" t="s">
        <v>160</v>
      </c>
      <c r="D41" s="14" t="s">
        <v>161</v>
      </c>
      <c r="E41" s="13" t="s">
        <v>51</v>
      </c>
      <c r="F41" s="15" t="s">
        <v>9</v>
      </c>
      <c r="G41" s="14" t="s">
        <v>162</v>
      </c>
    </row>
    <row r="42" customFormat="false" ht="23.85" hidden="false" customHeight="false" outlineLevel="0" collapsed="false">
      <c r="A42" s="13" t="n">
        <v>41</v>
      </c>
      <c r="B42" s="13" t="s">
        <v>144</v>
      </c>
      <c r="C42" s="13" t="s">
        <v>163</v>
      </c>
      <c r="D42" s="14" t="s">
        <v>164</v>
      </c>
      <c r="E42" s="13" t="s">
        <v>51</v>
      </c>
      <c r="F42" s="15" t="s">
        <v>9</v>
      </c>
      <c r="G42" s="14" t="s">
        <v>165</v>
      </c>
    </row>
    <row r="43" customFormat="false" ht="15" hidden="false" customHeight="false" outlineLevel="0" collapsed="false">
      <c r="A43" s="13" t="n">
        <v>42</v>
      </c>
      <c r="B43" s="13" t="s">
        <v>144</v>
      </c>
      <c r="C43" s="13" t="s">
        <v>166</v>
      </c>
      <c r="D43" s="14" t="s">
        <v>167</v>
      </c>
      <c r="E43" s="13" t="s">
        <v>51</v>
      </c>
      <c r="F43" s="15" t="s">
        <v>9</v>
      </c>
      <c r="G43" s="14" t="s">
        <v>168</v>
      </c>
    </row>
    <row r="44" customFormat="false" ht="35.05" hidden="false" customHeight="false" outlineLevel="0" collapsed="false">
      <c r="A44" s="13" t="n">
        <v>43</v>
      </c>
      <c r="B44" s="13" t="s">
        <v>144</v>
      </c>
      <c r="C44" s="13" t="s">
        <v>169</v>
      </c>
      <c r="D44" s="14" t="s">
        <v>170</v>
      </c>
      <c r="E44" s="13" t="s">
        <v>51</v>
      </c>
      <c r="F44" s="15" t="s">
        <v>9</v>
      </c>
      <c r="G44" s="14" t="s">
        <v>171</v>
      </c>
    </row>
    <row r="45" customFormat="false" ht="35.05" hidden="false" customHeight="false" outlineLevel="0" collapsed="false">
      <c r="A45" s="13" t="n">
        <v>44</v>
      </c>
      <c r="B45" s="13" t="s">
        <v>144</v>
      </c>
      <c r="C45" s="13" t="s">
        <v>172</v>
      </c>
      <c r="D45" s="14" t="s">
        <v>173</v>
      </c>
      <c r="E45" s="13" t="s">
        <v>77</v>
      </c>
      <c r="F45" s="15" t="s">
        <v>9</v>
      </c>
      <c r="G45" s="14" t="s">
        <v>174</v>
      </c>
    </row>
    <row r="46" customFormat="false" ht="102.2" hidden="false" customHeight="false" outlineLevel="0" collapsed="false">
      <c r="A46" s="13" t="n">
        <v>45</v>
      </c>
      <c r="B46" s="13" t="s">
        <v>144</v>
      </c>
      <c r="C46" s="13" t="s">
        <v>175</v>
      </c>
      <c r="D46" s="14" t="s">
        <v>176</v>
      </c>
      <c r="E46" s="13" t="s">
        <v>77</v>
      </c>
      <c r="F46" s="15" t="s">
        <v>9</v>
      </c>
      <c r="G46" s="14" t="s">
        <v>177</v>
      </c>
    </row>
    <row r="47" customFormat="false" ht="57.45" hidden="false" customHeight="false" outlineLevel="0" collapsed="false">
      <c r="A47" s="13" t="n">
        <v>46</v>
      </c>
      <c r="B47" s="13" t="s">
        <v>144</v>
      </c>
      <c r="C47" s="13" t="s">
        <v>178</v>
      </c>
      <c r="D47" s="14" t="s">
        <v>179</v>
      </c>
      <c r="E47" s="13" t="s">
        <v>51</v>
      </c>
      <c r="F47" s="15" t="s">
        <v>9</v>
      </c>
      <c r="G47" s="14" t="s">
        <v>180</v>
      </c>
    </row>
    <row r="48" customFormat="false" ht="46.25" hidden="false" customHeight="false" outlineLevel="0" collapsed="false">
      <c r="A48" s="13" t="n">
        <v>47</v>
      </c>
      <c r="B48" s="13" t="s">
        <v>181</v>
      </c>
      <c r="C48" s="13" t="s">
        <v>182</v>
      </c>
      <c r="D48" s="14" t="s">
        <v>183</v>
      </c>
      <c r="E48" s="13" t="s">
        <v>51</v>
      </c>
      <c r="F48" s="15" t="s">
        <v>9</v>
      </c>
      <c r="G48" s="14" t="s">
        <v>184</v>
      </c>
    </row>
    <row r="49" customFormat="false" ht="46.25" hidden="false" customHeight="false" outlineLevel="0" collapsed="false">
      <c r="A49" s="13" t="n">
        <v>48</v>
      </c>
      <c r="B49" s="13" t="s">
        <v>181</v>
      </c>
      <c r="C49" s="13" t="s">
        <v>185</v>
      </c>
      <c r="D49" s="14" t="s">
        <v>186</v>
      </c>
      <c r="E49" s="13" t="s">
        <v>51</v>
      </c>
      <c r="F49" s="15" t="s">
        <v>9</v>
      </c>
      <c r="G49" s="14" t="s">
        <v>187</v>
      </c>
    </row>
    <row r="50" customFormat="false" ht="23.85" hidden="false" customHeight="false" outlineLevel="0" collapsed="false">
      <c r="A50" s="13" t="n">
        <v>49</v>
      </c>
      <c r="B50" s="13" t="s">
        <v>181</v>
      </c>
      <c r="C50" s="13" t="s">
        <v>188</v>
      </c>
      <c r="D50" s="14" t="s">
        <v>189</v>
      </c>
      <c r="E50" s="13" t="s">
        <v>51</v>
      </c>
      <c r="F50" s="15" t="s">
        <v>9</v>
      </c>
      <c r="G50" s="14" t="s">
        <v>190</v>
      </c>
    </row>
    <row r="51" customFormat="false" ht="46.25" hidden="false" customHeight="false" outlineLevel="0" collapsed="false">
      <c r="A51" s="13" t="n">
        <v>50</v>
      </c>
      <c r="B51" s="13" t="s">
        <v>181</v>
      </c>
      <c r="C51" s="13" t="s">
        <v>191</v>
      </c>
      <c r="D51" s="14" t="s">
        <v>192</v>
      </c>
      <c r="E51" s="13" t="s">
        <v>51</v>
      </c>
      <c r="F51" s="15" t="s">
        <v>9</v>
      </c>
      <c r="G51" s="14" t="s">
        <v>193</v>
      </c>
    </row>
    <row r="52" customFormat="false" ht="46.25" hidden="false" customHeight="false" outlineLevel="0" collapsed="false">
      <c r="A52" s="13" t="n">
        <v>51</v>
      </c>
      <c r="B52" s="13" t="s">
        <v>181</v>
      </c>
      <c r="C52" s="13" t="s">
        <v>194</v>
      </c>
      <c r="D52" s="14" t="s">
        <v>195</v>
      </c>
      <c r="E52" s="13" t="s">
        <v>51</v>
      </c>
      <c r="F52" s="15" t="s">
        <v>9</v>
      </c>
      <c r="G52" s="14" t="s">
        <v>196</v>
      </c>
    </row>
    <row r="53" customFormat="false" ht="23.85" hidden="false" customHeight="false" outlineLevel="0" collapsed="false">
      <c r="A53" s="13" t="n">
        <v>52</v>
      </c>
      <c r="B53" s="13" t="s">
        <v>181</v>
      </c>
      <c r="C53" s="13" t="s">
        <v>197</v>
      </c>
      <c r="D53" s="14" t="s">
        <v>198</v>
      </c>
      <c r="E53" s="13" t="s">
        <v>51</v>
      </c>
      <c r="F53" s="15" t="s">
        <v>9</v>
      </c>
      <c r="G53" s="14" t="s">
        <v>199</v>
      </c>
    </row>
    <row r="54" customFormat="false" ht="23.85" hidden="false" customHeight="false" outlineLevel="0" collapsed="false">
      <c r="A54" s="13" t="n">
        <v>53</v>
      </c>
      <c r="B54" s="13" t="s">
        <v>181</v>
      </c>
      <c r="C54" s="13" t="s">
        <v>200</v>
      </c>
      <c r="D54" s="14" t="s">
        <v>201</v>
      </c>
      <c r="E54" s="13" t="s">
        <v>51</v>
      </c>
      <c r="F54" s="15" t="s">
        <v>9</v>
      </c>
      <c r="G54" s="14" t="s">
        <v>202</v>
      </c>
    </row>
    <row r="55" customFormat="false" ht="46.25" hidden="false" customHeight="false" outlineLevel="0" collapsed="false">
      <c r="A55" s="13" t="n">
        <v>54</v>
      </c>
      <c r="B55" s="13" t="s">
        <v>181</v>
      </c>
      <c r="C55" s="13" t="s">
        <v>203</v>
      </c>
      <c r="D55" s="14" t="s">
        <v>204</v>
      </c>
      <c r="E55" s="13" t="s">
        <v>51</v>
      </c>
      <c r="F55" s="15" t="s">
        <v>9</v>
      </c>
      <c r="G55" s="14" t="s">
        <v>205</v>
      </c>
    </row>
    <row r="56" customFormat="false" ht="15" hidden="false" customHeight="false" outlineLevel="0" collapsed="false">
      <c r="A56" s="13" t="n">
        <v>55</v>
      </c>
      <c r="B56" s="13" t="s">
        <v>181</v>
      </c>
      <c r="C56" s="13" t="s">
        <v>206</v>
      </c>
      <c r="D56" s="14" t="s">
        <v>207</v>
      </c>
      <c r="E56" s="13" t="s">
        <v>51</v>
      </c>
      <c r="F56" s="15" t="s">
        <v>9</v>
      </c>
      <c r="G56" s="14" t="s">
        <v>208</v>
      </c>
    </row>
    <row r="57" customFormat="false" ht="15" hidden="false" customHeight="false" outlineLevel="0" collapsed="false">
      <c r="A57" s="13" t="n">
        <v>56</v>
      </c>
      <c r="B57" s="13" t="s">
        <v>181</v>
      </c>
      <c r="C57" s="13" t="s">
        <v>209</v>
      </c>
      <c r="D57" s="14" t="s">
        <v>210</v>
      </c>
      <c r="E57" s="13" t="s">
        <v>77</v>
      </c>
      <c r="F57" s="15" t="s">
        <v>9</v>
      </c>
      <c r="G57" s="14" t="s">
        <v>208</v>
      </c>
    </row>
    <row r="58" customFormat="false" ht="46.25" hidden="false" customHeight="false" outlineLevel="0" collapsed="false">
      <c r="A58" s="13" t="n">
        <v>57</v>
      </c>
      <c r="B58" s="13" t="s">
        <v>181</v>
      </c>
      <c r="C58" s="13" t="s">
        <v>211</v>
      </c>
      <c r="D58" s="14" t="s">
        <v>212</v>
      </c>
      <c r="E58" s="13" t="s">
        <v>77</v>
      </c>
      <c r="F58" s="15" t="s">
        <v>9</v>
      </c>
      <c r="G58" s="14" t="s">
        <v>213</v>
      </c>
    </row>
    <row r="59" customFormat="false" ht="91" hidden="false" customHeight="false" outlineLevel="0" collapsed="false">
      <c r="A59" s="13" t="n">
        <v>58</v>
      </c>
      <c r="B59" s="13" t="s">
        <v>214</v>
      </c>
      <c r="C59" s="13" t="s">
        <v>215</v>
      </c>
      <c r="D59" s="14" t="s">
        <v>216</v>
      </c>
      <c r="E59" s="13" t="s">
        <v>51</v>
      </c>
      <c r="F59" s="15" t="s">
        <v>9</v>
      </c>
      <c r="G59" s="14" t="s">
        <v>217</v>
      </c>
    </row>
    <row r="60" customFormat="false" ht="46.25" hidden="false" customHeight="false" outlineLevel="0" collapsed="false">
      <c r="A60" s="13" t="n">
        <v>59</v>
      </c>
      <c r="B60" s="13" t="s">
        <v>214</v>
      </c>
      <c r="C60" s="13" t="s">
        <v>218</v>
      </c>
      <c r="D60" s="14" t="s">
        <v>219</v>
      </c>
      <c r="E60" s="13" t="s">
        <v>51</v>
      </c>
      <c r="F60" s="15" t="s">
        <v>9</v>
      </c>
      <c r="G60" s="14" t="s">
        <v>220</v>
      </c>
    </row>
    <row r="61" customFormat="false" ht="68.65" hidden="false" customHeight="false" outlineLevel="0" collapsed="false">
      <c r="A61" s="13" t="n">
        <v>60</v>
      </c>
      <c r="B61" s="13" t="s">
        <v>214</v>
      </c>
      <c r="C61" s="13" t="s">
        <v>221</v>
      </c>
      <c r="D61" s="14" t="s">
        <v>222</v>
      </c>
      <c r="E61" s="13" t="s">
        <v>77</v>
      </c>
      <c r="F61" s="15" t="s">
        <v>9</v>
      </c>
      <c r="G61" s="14" t="s">
        <v>223</v>
      </c>
    </row>
    <row r="62" customFormat="false" ht="124.6" hidden="false" customHeight="false" outlineLevel="0" collapsed="false">
      <c r="A62" s="13" t="n">
        <v>61</v>
      </c>
      <c r="B62" s="13" t="s">
        <v>214</v>
      </c>
      <c r="C62" s="13" t="s">
        <v>224</v>
      </c>
      <c r="D62" s="14" t="s">
        <v>225</v>
      </c>
      <c r="E62" s="13" t="s">
        <v>77</v>
      </c>
      <c r="F62" s="15" t="s">
        <v>9</v>
      </c>
      <c r="G62" s="14" t="s">
        <v>226</v>
      </c>
    </row>
    <row r="63" customFormat="false" ht="68.65" hidden="false" customHeight="false" outlineLevel="0" collapsed="false">
      <c r="A63" s="13" t="n">
        <v>62</v>
      </c>
      <c r="B63" s="13" t="s">
        <v>214</v>
      </c>
      <c r="C63" s="13" t="s">
        <v>227</v>
      </c>
      <c r="D63" s="14" t="s">
        <v>228</v>
      </c>
      <c r="E63" s="13" t="s">
        <v>77</v>
      </c>
      <c r="F63" s="15" t="s">
        <v>9</v>
      </c>
      <c r="G63" s="14" t="s">
        <v>229</v>
      </c>
    </row>
    <row r="64" customFormat="false" ht="35.05" hidden="false" customHeight="false" outlineLevel="0" collapsed="false">
      <c r="A64" s="13" t="n">
        <v>63</v>
      </c>
      <c r="B64" s="13" t="s">
        <v>214</v>
      </c>
      <c r="C64" s="13" t="s">
        <v>230</v>
      </c>
      <c r="D64" s="14" t="s">
        <v>231</v>
      </c>
      <c r="E64" s="13" t="s">
        <v>51</v>
      </c>
      <c r="F64" s="15" t="s">
        <v>9</v>
      </c>
      <c r="G64" s="14" t="s">
        <v>232</v>
      </c>
    </row>
    <row r="65" customFormat="false" ht="35.05" hidden="false" customHeight="false" outlineLevel="0" collapsed="false">
      <c r="A65" s="13" t="n">
        <v>64</v>
      </c>
      <c r="B65" s="13" t="s">
        <v>214</v>
      </c>
      <c r="C65" s="13" t="s">
        <v>233</v>
      </c>
      <c r="D65" s="14" t="s">
        <v>234</v>
      </c>
      <c r="E65" s="13" t="s">
        <v>51</v>
      </c>
      <c r="F65" s="15" t="s">
        <v>9</v>
      </c>
      <c r="G65" s="14" t="s">
        <v>235</v>
      </c>
    </row>
    <row r="66" customFormat="false" ht="57.45" hidden="false" customHeight="false" outlineLevel="0" collapsed="false">
      <c r="A66" s="13" t="n">
        <v>65</v>
      </c>
      <c r="B66" s="13" t="s">
        <v>214</v>
      </c>
      <c r="C66" s="13" t="s">
        <v>236</v>
      </c>
      <c r="D66" s="14" t="s">
        <v>237</v>
      </c>
      <c r="E66" s="13" t="s">
        <v>51</v>
      </c>
      <c r="F66" s="15" t="s">
        <v>9</v>
      </c>
      <c r="G66" s="14" t="s">
        <v>238</v>
      </c>
    </row>
    <row r="67" customFormat="false" ht="147" hidden="false" customHeight="false" outlineLevel="0" collapsed="false">
      <c r="A67" s="13" t="n">
        <v>66</v>
      </c>
      <c r="B67" s="13" t="s">
        <v>214</v>
      </c>
      <c r="C67" s="13" t="s">
        <v>239</v>
      </c>
      <c r="D67" s="14" t="s">
        <v>240</v>
      </c>
      <c r="E67" s="13" t="s">
        <v>51</v>
      </c>
      <c r="F67" s="15" t="s">
        <v>9</v>
      </c>
      <c r="G67" s="14" t="s">
        <v>241</v>
      </c>
    </row>
    <row r="68" customFormat="false" ht="57.45" hidden="false" customHeight="false" outlineLevel="0" collapsed="false">
      <c r="A68" s="13" t="n">
        <v>67</v>
      </c>
      <c r="B68" s="13" t="s">
        <v>214</v>
      </c>
      <c r="C68" s="13" t="s">
        <v>242</v>
      </c>
      <c r="D68" s="14" t="s">
        <v>243</v>
      </c>
      <c r="E68" s="13" t="s">
        <v>51</v>
      </c>
      <c r="F68" s="15" t="s">
        <v>9</v>
      </c>
      <c r="G68" s="14" t="s">
        <v>244</v>
      </c>
    </row>
    <row r="69" customFormat="false" ht="46.25" hidden="false" customHeight="false" outlineLevel="0" collapsed="false">
      <c r="A69" s="13" t="n">
        <v>68</v>
      </c>
      <c r="B69" s="13" t="s">
        <v>214</v>
      </c>
      <c r="C69" s="13" t="s">
        <v>245</v>
      </c>
      <c r="D69" s="14" t="s">
        <v>246</v>
      </c>
      <c r="E69" s="13" t="s">
        <v>77</v>
      </c>
      <c r="F69" s="15" t="s">
        <v>9</v>
      </c>
      <c r="G69" s="14" t="s">
        <v>247</v>
      </c>
    </row>
    <row r="70" customFormat="false" ht="35.05" hidden="false" customHeight="false" outlineLevel="0" collapsed="false">
      <c r="A70" s="13" t="n">
        <v>69</v>
      </c>
      <c r="B70" s="13" t="s">
        <v>248</v>
      </c>
      <c r="C70" s="13" t="s">
        <v>249</v>
      </c>
      <c r="D70" s="14" t="s">
        <v>250</v>
      </c>
      <c r="E70" s="13" t="s">
        <v>51</v>
      </c>
      <c r="F70" s="15" t="s">
        <v>9</v>
      </c>
      <c r="G70" s="14" t="s">
        <v>251</v>
      </c>
    </row>
    <row r="71" customFormat="false" ht="79.85" hidden="false" customHeight="false" outlineLevel="0" collapsed="false">
      <c r="A71" s="13" t="n">
        <v>70</v>
      </c>
      <c r="B71" s="13" t="s">
        <v>248</v>
      </c>
      <c r="C71" s="13" t="s">
        <v>252</v>
      </c>
      <c r="D71" s="14" t="s">
        <v>253</v>
      </c>
      <c r="E71" s="13" t="s">
        <v>51</v>
      </c>
      <c r="F71" s="15" t="s">
        <v>9</v>
      </c>
      <c r="G71" s="14" t="s">
        <v>254</v>
      </c>
    </row>
    <row r="72" customFormat="false" ht="23.85" hidden="false" customHeight="false" outlineLevel="0" collapsed="false">
      <c r="A72" s="13" t="n">
        <v>71</v>
      </c>
      <c r="B72" s="13" t="s">
        <v>248</v>
      </c>
      <c r="C72" s="13" t="s">
        <v>255</v>
      </c>
      <c r="D72" s="14" t="s">
        <v>256</v>
      </c>
      <c r="E72" s="13" t="s">
        <v>51</v>
      </c>
      <c r="F72" s="15" t="s">
        <v>9</v>
      </c>
      <c r="G72" s="14" t="s">
        <v>257</v>
      </c>
    </row>
    <row r="73" customFormat="false" ht="91" hidden="false" customHeight="false" outlineLevel="0" collapsed="false">
      <c r="A73" s="13" t="n">
        <v>72</v>
      </c>
      <c r="B73" s="13" t="s">
        <v>248</v>
      </c>
      <c r="C73" s="13" t="s">
        <v>258</v>
      </c>
      <c r="D73" s="14" t="s">
        <v>259</v>
      </c>
      <c r="E73" s="13" t="s">
        <v>51</v>
      </c>
      <c r="F73" s="15" t="s">
        <v>9</v>
      </c>
      <c r="G73" s="14" t="s">
        <v>260</v>
      </c>
    </row>
    <row r="74" customFormat="false" ht="57.45" hidden="false" customHeight="false" outlineLevel="0" collapsed="false">
      <c r="A74" s="13" t="n">
        <v>73</v>
      </c>
      <c r="B74" s="13" t="s">
        <v>248</v>
      </c>
      <c r="C74" s="13" t="s">
        <v>261</v>
      </c>
      <c r="D74" s="14" t="s">
        <v>262</v>
      </c>
      <c r="E74" s="13" t="s">
        <v>51</v>
      </c>
      <c r="F74" s="15" t="s">
        <v>9</v>
      </c>
      <c r="G74" s="14" t="s">
        <v>263</v>
      </c>
    </row>
    <row r="75" customFormat="false" ht="91" hidden="false" customHeight="false" outlineLevel="0" collapsed="false">
      <c r="A75" s="13" t="n">
        <v>74</v>
      </c>
      <c r="B75" s="13" t="s">
        <v>248</v>
      </c>
      <c r="C75" s="13" t="s">
        <v>264</v>
      </c>
      <c r="D75" s="14" t="s">
        <v>265</v>
      </c>
      <c r="E75" s="13" t="s">
        <v>51</v>
      </c>
      <c r="F75" s="15" t="s">
        <v>9</v>
      </c>
      <c r="G75" s="14" t="s">
        <v>266</v>
      </c>
    </row>
    <row r="76" customFormat="false" ht="68.65" hidden="false" customHeight="false" outlineLevel="0" collapsed="false">
      <c r="A76" s="13" t="n">
        <v>75</v>
      </c>
      <c r="B76" s="13" t="s">
        <v>248</v>
      </c>
      <c r="C76" s="13" t="s">
        <v>267</v>
      </c>
      <c r="D76" s="14" t="s">
        <v>268</v>
      </c>
      <c r="E76" s="13" t="s">
        <v>51</v>
      </c>
      <c r="F76" s="15" t="s">
        <v>9</v>
      </c>
      <c r="G76" s="14" t="s">
        <v>269</v>
      </c>
    </row>
    <row r="77" customFormat="false" ht="79.85" hidden="false" customHeight="false" outlineLevel="0" collapsed="false">
      <c r="A77" s="13" t="n">
        <v>76</v>
      </c>
      <c r="B77" s="13" t="s">
        <v>248</v>
      </c>
      <c r="C77" s="13" t="s">
        <v>270</v>
      </c>
      <c r="D77" s="14" t="s">
        <v>271</v>
      </c>
      <c r="E77" s="13" t="s">
        <v>77</v>
      </c>
      <c r="F77" s="15" t="s">
        <v>9</v>
      </c>
      <c r="G77" s="14" t="s">
        <v>272</v>
      </c>
    </row>
    <row r="78" customFormat="false" ht="79.85" hidden="false" customHeight="false" outlineLevel="0" collapsed="false">
      <c r="A78" s="13" t="n">
        <v>77</v>
      </c>
      <c r="B78" s="13" t="s">
        <v>248</v>
      </c>
      <c r="C78" s="13" t="s">
        <v>273</v>
      </c>
      <c r="D78" s="14" t="s">
        <v>274</v>
      </c>
      <c r="E78" s="13" t="s">
        <v>51</v>
      </c>
      <c r="F78" s="15" t="s">
        <v>9</v>
      </c>
      <c r="G78" s="14" t="s">
        <v>275</v>
      </c>
    </row>
    <row r="79" customFormat="false" ht="57.45" hidden="false" customHeight="false" outlineLevel="0" collapsed="false">
      <c r="A79" s="13" t="n">
        <v>78</v>
      </c>
      <c r="B79" s="13" t="s">
        <v>248</v>
      </c>
      <c r="C79" s="13" t="s">
        <v>276</v>
      </c>
      <c r="D79" s="14" t="s">
        <v>277</v>
      </c>
      <c r="E79" s="13" t="s">
        <v>51</v>
      </c>
      <c r="F79" s="15" t="s">
        <v>9</v>
      </c>
      <c r="G79" s="14" t="s">
        <v>278</v>
      </c>
    </row>
    <row r="80" customFormat="false" ht="46.25" hidden="false" customHeight="false" outlineLevel="0" collapsed="false">
      <c r="A80" s="13" t="n">
        <v>79</v>
      </c>
      <c r="B80" s="13" t="s">
        <v>248</v>
      </c>
      <c r="C80" s="13" t="s">
        <v>279</v>
      </c>
      <c r="D80" s="14" t="s">
        <v>280</v>
      </c>
      <c r="E80" s="13" t="s">
        <v>51</v>
      </c>
      <c r="F80" s="15" t="s">
        <v>9</v>
      </c>
      <c r="G80" s="14" t="s">
        <v>281</v>
      </c>
    </row>
    <row r="81" customFormat="false" ht="46.25" hidden="false" customHeight="false" outlineLevel="0" collapsed="false">
      <c r="A81" s="13" t="n">
        <v>80</v>
      </c>
      <c r="B81" s="13" t="s">
        <v>248</v>
      </c>
      <c r="C81" s="13" t="s">
        <v>282</v>
      </c>
      <c r="D81" s="14" t="s">
        <v>283</v>
      </c>
      <c r="E81" s="13" t="s">
        <v>51</v>
      </c>
      <c r="F81" s="15" t="s">
        <v>9</v>
      </c>
      <c r="G81" s="14" t="s">
        <v>284</v>
      </c>
    </row>
    <row r="82" customFormat="false" ht="46.25" hidden="false" customHeight="false" outlineLevel="0" collapsed="false">
      <c r="A82" s="13" t="n">
        <v>81</v>
      </c>
      <c r="B82" s="13" t="s">
        <v>248</v>
      </c>
      <c r="C82" s="13" t="s">
        <v>285</v>
      </c>
      <c r="D82" s="14" t="s">
        <v>286</v>
      </c>
      <c r="E82" s="13" t="s">
        <v>51</v>
      </c>
      <c r="F82" s="15" t="s">
        <v>9</v>
      </c>
      <c r="G82" s="14" t="s">
        <v>287</v>
      </c>
    </row>
    <row r="83" customFormat="false" ht="102.2" hidden="false" customHeight="false" outlineLevel="0" collapsed="false">
      <c r="A83" s="13" t="n">
        <v>82</v>
      </c>
      <c r="B83" s="13" t="s">
        <v>248</v>
      </c>
      <c r="C83" s="13" t="s">
        <v>288</v>
      </c>
      <c r="D83" s="14" t="s">
        <v>289</v>
      </c>
      <c r="E83" s="13" t="s">
        <v>51</v>
      </c>
      <c r="F83" s="15" t="s">
        <v>9</v>
      </c>
      <c r="G83" s="14" t="s">
        <v>290</v>
      </c>
    </row>
    <row r="84" customFormat="false" ht="147" hidden="false" customHeight="false" outlineLevel="0" collapsed="false">
      <c r="A84" s="13" t="n">
        <v>83</v>
      </c>
      <c r="B84" s="13" t="s">
        <v>248</v>
      </c>
      <c r="C84" s="13" t="s">
        <v>291</v>
      </c>
      <c r="D84" s="14" t="s">
        <v>292</v>
      </c>
      <c r="E84" s="13" t="s">
        <v>51</v>
      </c>
      <c r="F84" s="15" t="s">
        <v>9</v>
      </c>
      <c r="G84" s="14" t="s">
        <v>293</v>
      </c>
    </row>
    <row r="85" customFormat="false" ht="102.2" hidden="false" customHeight="false" outlineLevel="0" collapsed="false">
      <c r="A85" s="13" t="n">
        <v>84</v>
      </c>
      <c r="B85" s="13" t="s">
        <v>248</v>
      </c>
      <c r="C85" s="13" t="s">
        <v>294</v>
      </c>
      <c r="D85" s="14" t="s">
        <v>295</v>
      </c>
      <c r="E85" s="13" t="s">
        <v>51</v>
      </c>
      <c r="F85" s="15" t="s">
        <v>9</v>
      </c>
      <c r="G85" s="14" t="s">
        <v>296</v>
      </c>
    </row>
    <row r="86" customFormat="false" ht="46.25" hidden="false" customHeight="false" outlineLevel="0" collapsed="false">
      <c r="A86" s="13" t="n">
        <v>85</v>
      </c>
      <c r="B86" s="13" t="s">
        <v>248</v>
      </c>
      <c r="C86" s="13" t="s">
        <v>297</v>
      </c>
      <c r="D86" s="14" t="s">
        <v>298</v>
      </c>
      <c r="E86" s="13" t="s">
        <v>51</v>
      </c>
      <c r="F86" s="15" t="s">
        <v>9</v>
      </c>
      <c r="G86" s="14" t="s">
        <v>299</v>
      </c>
    </row>
    <row r="87" customFormat="false" ht="57.45" hidden="false" customHeight="false" outlineLevel="0" collapsed="false">
      <c r="A87" s="13" t="n">
        <v>86</v>
      </c>
      <c r="B87" s="13" t="s">
        <v>248</v>
      </c>
      <c r="C87" s="13" t="s">
        <v>300</v>
      </c>
      <c r="D87" s="14" t="s">
        <v>301</v>
      </c>
      <c r="E87" s="13" t="s">
        <v>51</v>
      </c>
      <c r="F87" s="15" t="s">
        <v>9</v>
      </c>
      <c r="G87" s="14" t="s">
        <v>302</v>
      </c>
    </row>
    <row r="88" customFormat="false" ht="57.45" hidden="false" customHeight="false" outlineLevel="0" collapsed="false">
      <c r="A88" s="13" t="n">
        <v>87</v>
      </c>
      <c r="B88" s="13" t="s">
        <v>248</v>
      </c>
      <c r="C88" s="13" t="s">
        <v>303</v>
      </c>
      <c r="D88" s="14" t="s">
        <v>304</v>
      </c>
      <c r="E88" s="13" t="s">
        <v>51</v>
      </c>
      <c r="F88" s="15" t="s">
        <v>9</v>
      </c>
      <c r="G88" s="14" t="s">
        <v>305</v>
      </c>
    </row>
    <row r="89" customFormat="false" ht="15" hidden="false" customHeight="false" outlineLevel="0" collapsed="false">
      <c r="A89" s="13" t="n">
        <v>88</v>
      </c>
      <c r="B89" s="13" t="s">
        <v>248</v>
      </c>
      <c r="C89" s="13" t="s">
        <v>306</v>
      </c>
      <c r="D89" s="14" t="s">
        <v>307</v>
      </c>
      <c r="E89" s="13" t="s">
        <v>51</v>
      </c>
      <c r="F89" s="15" t="s">
        <v>9</v>
      </c>
      <c r="G89" s="14" t="s">
        <v>308</v>
      </c>
    </row>
    <row r="90" customFormat="false" ht="15" hidden="false" customHeight="false" outlineLevel="0" collapsed="false">
      <c r="A90" s="13" t="n">
        <v>89</v>
      </c>
      <c r="B90" s="13" t="s">
        <v>248</v>
      </c>
      <c r="C90" s="13" t="s">
        <v>309</v>
      </c>
      <c r="D90" s="14" t="s">
        <v>310</v>
      </c>
      <c r="E90" s="13" t="s">
        <v>51</v>
      </c>
      <c r="F90" s="15" t="s">
        <v>9</v>
      </c>
      <c r="G90" s="14" t="s">
        <v>311</v>
      </c>
    </row>
    <row r="91" customFormat="false" ht="15" hidden="false" customHeight="false" outlineLevel="0" collapsed="false">
      <c r="A91" s="13" t="n">
        <v>90</v>
      </c>
      <c r="B91" s="13" t="s">
        <v>248</v>
      </c>
      <c r="C91" s="13" t="s">
        <v>312</v>
      </c>
      <c r="D91" s="14" t="s">
        <v>313</v>
      </c>
      <c r="E91" s="13" t="s">
        <v>51</v>
      </c>
      <c r="F91" s="15" t="s">
        <v>9</v>
      </c>
      <c r="G91" s="14" t="s">
        <v>314</v>
      </c>
    </row>
    <row r="92" customFormat="false" ht="15" hidden="false" customHeight="false" outlineLevel="0" collapsed="false">
      <c r="A92" s="13" t="n">
        <v>91</v>
      </c>
      <c r="B92" s="13" t="s">
        <v>248</v>
      </c>
      <c r="C92" s="13" t="s">
        <v>315</v>
      </c>
      <c r="D92" s="14" t="s">
        <v>316</v>
      </c>
      <c r="E92" s="13" t="s">
        <v>51</v>
      </c>
      <c r="F92" s="15" t="s">
        <v>9</v>
      </c>
      <c r="G92" s="14" t="s">
        <v>317</v>
      </c>
    </row>
    <row r="93" customFormat="false" ht="15" hidden="false" customHeight="false" outlineLevel="0" collapsed="false">
      <c r="A93" s="13" t="n">
        <v>92</v>
      </c>
      <c r="B93" s="13" t="s">
        <v>248</v>
      </c>
      <c r="C93" s="13" t="s">
        <v>318</v>
      </c>
      <c r="D93" s="14" t="s">
        <v>319</v>
      </c>
      <c r="E93" s="13" t="s">
        <v>51</v>
      </c>
      <c r="F93" s="15" t="s">
        <v>9</v>
      </c>
      <c r="G93" s="14" t="s">
        <v>320</v>
      </c>
    </row>
    <row r="94" customFormat="false" ht="15" hidden="false" customHeight="false" outlineLevel="0" collapsed="false">
      <c r="A94" s="13" t="n">
        <v>93</v>
      </c>
      <c r="B94" s="13" t="s">
        <v>248</v>
      </c>
      <c r="C94" s="13" t="s">
        <v>321</v>
      </c>
      <c r="D94" s="14" t="s">
        <v>322</v>
      </c>
      <c r="E94" s="13" t="s">
        <v>51</v>
      </c>
      <c r="F94" s="15" t="s">
        <v>9</v>
      </c>
      <c r="G94" s="14" t="s">
        <v>323</v>
      </c>
    </row>
    <row r="95" customFormat="false" ht="15" hidden="false" customHeight="false" outlineLevel="0" collapsed="false">
      <c r="A95" s="13" t="n">
        <v>94</v>
      </c>
      <c r="B95" s="13" t="s">
        <v>248</v>
      </c>
      <c r="C95" s="13" t="s">
        <v>324</v>
      </c>
      <c r="D95" s="14" t="s">
        <v>325</v>
      </c>
      <c r="E95" s="13" t="s">
        <v>51</v>
      </c>
      <c r="F95" s="15" t="s">
        <v>9</v>
      </c>
      <c r="G95" s="14" t="s">
        <v>326</v>
      </c>
    </row>
    <row r="96" customFormat="false" ht="15" hidden="false" customHeight="false" outlineLevel="0" collapsed="false">
      <c r="A96" s="13" t="n">
        <v>95</v>
      </c>
      <c r="B96" s="13" t="s">
        <v>248</v>
      </c>
      <c r="C96" s="13" t="s">
        <v>327</v>
      </c>
      <c r="D96" s="14" t="s">
        <v>328</v>
      </c>
      <c r="E96" s="13" t="s">
        <v>51</v>
      </c>
      <c r="F96" s="15" t="s">
        <v>9</v>
      </c>
      <c r="G96" s="14" t="s">
        <v>329</v>
      </c>
    </row>
    <row r="97" customFormat="false" ht="15" hidden="false" customHeight="false" outlineLevel="0" collapsed="false">
      <c r="A97" s="13" t="n">
        <v>96</v>
      </c>
      <c r="B97" s="13" t="s">
        <v>248</v>
      </c>
      <c r="C97" s="13" t="s">
        <v>330</v>
      </c>
      <c r="D97" s="14" t="s">
        <v>331</v>
      </c>
      <c r="E97" s="13" t="s">
        <v>51</v>
      </c>
      <c r="F97" s="15" t="s">
        <v>9</v>
      </c>
      <c r="G97" s="14" t="s">
        <v>332</v>
      </c>
    </row>
    <row r="98" customFormat="false" ht="15" hidden="false" customHeight="false" outlineLevel="0" collapsed="false">
      <c r="A98" s="13" t="n">
        <v>97</v>
      </c>
      <c r="B98" s="13" t="s">
        <v>248</v>
      </c>
      <c r="C98" s="13" t="s">
        <v>333</v>
      </c>
      <c r="D98" s="14" t="s">
        <v>334</v>
      </c>
      <c r="E98" s="13" t="s">
        <v>51</v>
      </c>
      <c r="F98" s="15" t="s">
        <v>9</v>
      </c>
      <c r="G98" s="14" t="s">
        <v>335</v>
      </c>
    </row>
    <row r="99" customFormat="false" ht="15" hidden="false" customHeight="false" outlineLevel="0" collapsed="false">
      <c r="A99" s="13" t="n">
        <v>98</v>
      </c>
      <c r="B99" s="13" t="s">
        <v>248</v>
      </c>
      <c r="C99" s="13" t="s">
        <v>336</v>
      </c>
      <c r="D99" s="14" t="s">
        <v>337</v>
      </c>
      <c r="E99" s="13" t="s">
        <v>51</v>
      </c>
      <c r="F99" s="15" t="s">
        <v>9</v>
      </c>
      <c r="G99" s="14" t="s">
        <v>338</v>
      </c>
    </row>
    <row r="100" customFormat="false" ht="15" hidden="false" customHeight="false" outlineLevel="0" collapsed="false">
      <c r="A100" s="13" t="n">
        <v>99</v>
      </c>
      <c r="B100" s="13" t="s">
        <v>248</v>
      </c>
      <c r="C100" s="13" t="s">
        <v>339</v>
      </c>
      <c r="D100" s="14" t="s">
        <v>340</v>
      </c>
      <c r="E100" s="13" t="s">
        <v>51</v>
      </c>
      <c r="F100" s="15" t="s">
        <v>9</v>
      </c>
      <c r="G100" s="14" t="s">
        <v>338</v>
      </c>
    </row>
    <row r="101" customFormat="false" ht="15" hidden="false" customHeight="false" outlineLevel="0" collapsed="false">
      <c r="A101" s="13" t="n">
        <v>100</v>
      </c>
      <c r="B101" s="13" t="s">
        <v>248</v>
      </c>
      <c r="C101" s="13" t="s">
        <v>341</v>
      </c>
      <c r="D101" s="14" t="s">
        <v>342</v>
      </c>
      <c r="E101" s="13" t="s">
        <v>51</v>
      </c>
      <c r="F101" s="15" t="s">
        <v>9</v>
      </c>
      <c r="G101" s="14" t="s">
        <v>338</v>
      </c>
    </row>
    <row r="102" customFormat="false" ht="15" hidden="false" customHeight="false" outlineLevel="0" collapsed="false">
      <c r="A102" s="13" t="n">
        <v>101</v>
      </c>
      <c r="B102" s="13" t="s">
        <v>248</v>
      </c>
      <c r="C102" s="13" t="s">
        <v>343</v>
      </c>
      <c r="D102" s="14" t="s">
        <v>344</v>
      </c>
      <c r="E102" s="13" t="s">
        <v>51</v>
      </c>
      <c r="F102" s="15" t="s">
        <v>9</v>
      </c>
      <c r="G102" s="14" t="s">
        <v>338</v>
      </c>
    </row>
    <row r="103" customFormat="false" ht="15" hidden="false" customHeight="false" outlineLevel="0" collapsed="false">
      <c r="A103" s="13" t="n">
        <v>102</v>
      </c>
      <c r="B103" s="13" t="s">
        <v>248</v>
      </c>
      <c r="C103" s="13" t="s">
        <v>345</v>
      </c>
      <c r="D103" s="14" t="s">
        <v>346</v>
      </c>
      <c r="E103" s="13" t="s">
        <v>51</v>
      </c>
      <c r="F103" s="15" t="s">
        <v>9</v>
      </c>
      <c r="G103" s="14" t="s">
        <v>338</v>
      </c>
    </row>
    <row r="104" customFormat="false" ht="15" hidden="false" customHeight="false" outlineLevel="0" collapsed="false">
      <c r="A104" s="13" t="n">
        <v>103</v>
      </c>
      <c r="B104" s="13" t="s">
        <v>248</v>
      </c>
      <c r="C104" s="13" t="s">
        <v>347</v>
      </c>
      <c r="D104" s="14" t="s">
        <v>348</v>
      </c>
      <c r="E104" s="13" t="s">
        <v>51</v>
      </c>
      <c r="F104" s="15" t="s">
        <v>9</v>
      </c>
      <c r="G104" s="14" t="s">
        <v>338</v>
      </c>
    </row>
    <row r="105" customFormat="false" ht="15" hidden="false" customHeight="false" outlineLevel="0" collapsed="false">
      <c r="A105" s="13" t="n">
        <v>104</v>
      </c>
      <c r="B105" s="13" t="s">
        <v>248</v>
      </c>
      <c r="C105" s="13" t="s">
        <v>349</v>
      </c>
      <c r="D105" s="14" t="s">
        <v>350</v>
      </c>
      <c r="E105" s="13" t="s">
        <v>51</v>
      </c>
      <c r="F105" s="15" t="s">
        <v>9</v>
      </c>
      <c r="G105" s="14" t="s">
        <v>351</v>
      </c>
    </row>
    <row r="106" customFormat="false" ht="15" hidden="false" customHeight="false" outlineLevel="0" collapsed="false">
      <c r="A106" s="13" t="n">
        <v>105</v>
      </c>
      <c r="B106" s="13" t="s">
        <v>248</v>
      </c>
      <c r="C106" s="13" t="s">
        <v>352</v>
      </c>
      <c r="D106" s="14" t="s">
        <v>353</v>
      </c>
      <c r="E106" s="13" t="s">
        <v>51</v>
      </c>
      <c r="F106" s="15" t="s">
        <v>9</v>
      </c>
      <c r="G106" s="14" t="s">
        <v>338</v>
      </c>
    </row>
    <row r="107" customFormat="false" ht="15" hidden="false" customHeight="false" outlineLevel="0" collapsed="false">
      <c r="A107" s="13" t="n">
        <v>106</v>
      </c>
      <c r="B107" s="13" t="s">
        <v>248</v>
      </c>
      <c r="C107" s="13" t="s">
        <v>354</v>
      </c>
      <c r="D107" s="14" t="s">
        <v>355</v>
      </c>
      <c r="E107" s="13" t="s">
        <v>77</v>
      </c>
      <c r="F107" s="15" t="s">
        <v>9</v>
      </c>
      <c r="G107" s="14" t="s">
        <v>338</v>
      </c>
    </row>
    <row r="108" customFormat="false" ht="15" hidden="false" customHeight="false" outlineLevel="0" collapsed="false">
      <c r="A108" s="13" t="n">
        <v>107</v>
      </c>
      <c r="B108" s="13" t="s">
        <v>248</v>
      </c>
      <c r="C108" s="13" t="s">
        <v>356</v>
      </c>
      <c r="D108" s="14" t="s">
        <v>357</v>
      </c>
      <c r="E108" s="13" t="s">
        <v>51</v>
      </c>
      <c r="F108" s="15" t="s">
        <v>9</v>
      </c>
      <c r="G108" s="14" t="s">
        <v>338</v>
      </c>
    </row>
    <row r="109" customFormat="false" ht="15" hidden="false" customHeight="false" outlineLevel="0" collapsed="false">
      <c r="A109" s="13" t="n">
        <v>108</v>
      </c>
      <c r="B109" s="13" t="s">
        <v>248</v>
      </c>
      <c r="C109" s="13" t="s">
        <v>358</v>
      </c>
      <c r="D109" s="14" t="s">
        <v>359</v>
      </c>
      <c r="E109" s="13" t="s">
        <v>51</v>
      </c>
      <c r="F109" s="15" t="s">
        <v>9</v>
      </c>
      <c r="G109" s="14" t="s">
        <v>338</v>
      </c>
    </row>
    <row r="110" customFormat="false" ht="15" hidden="false" customHeight="false" outlineLevel="0" collapsed="false">
      <c r="A110" s="13" t="n">
        <v>109</v>
      </c>
      <c r="B110" s="13" t="s">
        <v>248</v>
      </c>
      <c r="C110" s="13" t="s">
        <v>360</v>
      </c>
      <c r="D110" s="14" t="s">
        <v>361</v>
      </c>
      <c r="E110" s="13" t="s">
        <v>77</v>
      </c>
      <c r="F110" s="15" t="s">
        <v>9</v>
      </c>
      <c r="G110" s="14" t="s">
        <v>362</v>
      </c>
    </row>
    <row r="111" customFormat="false" ht="15" hidden="false" customHeight="false" outlineLevel="0" collapsed="false">
      <c r="A111" s="13" t="n">
        <v>110</v>
      </c>
      <c r="B111" s="13" t="s">
        <v>248</v>
      </c>
      <c r="C111" s="13" t="s">
        <v>363</v>
      </c>
      <c r="D111" s="14" t="s">
        <v>364</v>
      </c>
      <c r="E111" s="13" t="s">
        <v>51</v>
      </c>
      <c r="F111" s="15" t="s">
        <v>9</v>
      </c>
      <c r="G111" s="14" t="s">
        <v>365</v>
      </c>
    </row>
    <row r="112" customFormat="false" ht="15" hidden="false" customHeight="false" outlineLevel="0" collapsed="false">
      <c r="A112" s="13" t="n">
        <v>111</v>
      </c>
      <c r="B112" s="13" t="s">
        <v>248</v>
      </c>
      <c r="C112" s="13" t="s">
        <v>366</v>
      </c>
      <c r="D112" s="14" t="s">
        <v>367</v>
      </c>
      <c r="E112" s="13" t="s">
        <v>51</v>
      </c>
      <c r="F112" s="15" t="s">
        <v>9</v>
      </c>
      <c r="G112" s="14" t="s">
        <v>365</v>
      </c>
    </row>
    <row r="113" customFormat="false" ht="15" hidden="false" customHeight="false" outlineLevel="0" collapsed="false">
      <c r="A113" s="13" t="n">
        <v>112</v>
      </c>
      <c r="B113" s="13" t="s">
        <v>248</v>
      </c>
      <c r="C113" s="13" t="s">
        <v>368</v>
      </c>
      <c r="D113" s="14" t="s">
        <v>369</v>
      </c>
      <c r="E113" s="13" t="s">
        <v>51</v>
      </c>
      <c r="F113" s="15" t="s">
        <v>9</v>
      </c>
      <c r="G113" s="14" t="s">
        <v>370</v>
      </c>
    </row>
    <row r="114" customFormat="false" ht="15" hidden="false" customHeight="false" outlineLevel="0" collapsed="false">
      <c r="A114" s="13" t="n">
        <v>113</v>
      </c>
      <c r="B114" s="13" t="s">
        <v>248</v>
      </c>
      <c r="C114" s="13" t="s">
        <v>371</v>
      </c>
      <c r="D114" s="14" t="s">
        <v>372</v>
      </c>
      <c r="E114" s="13" t="s">
        <v>51</v>
      </c>
      <c r="F114" s="15" t="s">
        <v>9</v>
      </c>
      <c r="G114" s="14" t="s">
        <v>370</v>
      </c>
    </row>
    <row r="115" customFormat="false" ht="15" hidden="false" customHeight="false" outlineLevel="0" collapsed="false">
      <c r="A115" s="13" t="n">
        <v>114</v>
      </c>
      <c r="B115" s="13" t="s">
        <v>248</v>
      </c>
      <c r="C115" s="13" t="s">
        <v>373</v>
      </c>
      <c r="D115" s="14" t="s">
        <v>374</v>
      </c>
      <c r="E115" s="13" t="s">
        <v>51</v>
      </c>
      <c r="F115" s="15" t="s">
        <v>9</v>
      </c>
      <c r="G115" s="14" t="s">
        <v>370</v>
      </c>
    </row>
    <row r="116" customFormat="false" ht="15" hidden="false" customHeight="false" outlineLevel="0" collapsed="false">
      <c r="A116" s="13" t="n">
        <v>115</v>
      </c>
      <c r="B116" s="13" t="s">
        <v>248</v>
      </c>
      <c r="C116" s="13" t="s">
        <v>375</v>
      </c>
      <c r="D116" s="14" t="s">
        <v>376</v>
      </c>
      <c r="E116" s="13" t="s">
        <v>51</v>
      </c>
      <c r="F116" s="15" t="s">
        <v>9</v>
      </c>
      <c r="G116" s="14" t="s">
        <v>377</v>
      </c>
    </row>
    <row r="117" customFormat="false" ht="15" hidden="false" customHeight="false" outlineLevel="0" collapsed="false">
      <c r="A117" s="13" t="n">
        <v>116</v>
      </c>
      <c r="B117" s="13" t="s">
        <v>248</v>
      </c>
      <c r="C117" s="13" t="s">
        <v>378</v>
      </c>
      <c r="D117" s="14" t="s">
        <v>379</v>
      </c>
      <c r="E117" s="13" t="s">
        <v>77</v>
      </c>
      <c r="F117" s="15" t="s">
        <v>9</v>
      </c>
      <c r="G117" s="14" t="s">
        <v>380</v>
      </c>
    </row>
    <row r="118" customFormat="false" ht="35.05" hidden="false" customHeight="false" outlineLevel="0" collapsed="false">
      <c r="A118" s="13" t="n">
        <v>117</v>
      </c>
      <c r="B118" s="13" t="s">
        <v>381</v>
      </c>
      <c r="C118" s="13" t="s">
        <v>382</v>
      </c>
      <c r="D118" s="14" t="s">
        <v>383</v>
      </c>
      <c r="E118" s="13" t="s">
        <v>51</v>
      </c>
      <c r="F118" s="15" t="s">
        <v>9</v>
      </c>
      <c r="G118" s="14" t="s">
        <v>384</v>
      </c>
    </row>
    <row r="119" customFormat="false" ht="15" hidden="false" customHeight="false" outlineLevel="0" collapsed="false">
      <c r="A119" s="13" t="n">
        <v>118</v>
      </c>
      <c r="B119" s="13" t="s">
        <v>381</v>
      </c>
      <c r="C119" s="13" t="s">
        <v>385</v>
      </c>
      <c r="D119" s="14" t="s">
        <v>386</v>
      </c>
      <c r="E119" s="13" t="s">
        <v>51</v>
      </c>
      <c r="F119" s="15" t="s">
        <v>9</v>
      </c>
      <c r="G119" s="14" t="s">
        <v>387</v>
      </c>
    </row>
    <row r="120" customFormat="false" ht="46.25" hidden="false" customHeight="false" outlineLevel="0" collapsed="false">
      <c r="A120" s="13" t="n">
        <v>119</v>
      </c>
      <c r="B120" s="13" t="s">
        <v>381</v>
      </c>
      <c r="C120" s="13" t="s">
        <v>388</v>
      </c>
      <c r="D120" s="14" t="s">
        <v>389</v>
      </c>
      <c r="E120" s="13" t="s">
        <v>77</v>
      </c>
      <c r="F120" s="15" t="s">
        <v>9</v>
      </c>
      <c r="G120" s="14" t="s">
        <v>390</v>
      </c>
    </row>
    <row r="121" customFormat="false" ht="15" hidden="false" customHeight="false" outlineLevel="0" collapsed="false">
      <c r="A121" s="13" t="n">
        <v>120</v>
      </c>
      <c r="B121" s="13" t="s">
        <v>381</v>
      </c>
      <c r="C121" s="13" t="s">
        <v>391</v>
      </c>
      <c r="D121" s="14" t="s">
        <v>392</v>
      </c>
      <c r="E121" s="13" t="s">
        <v>51</v>
      </c>
      <c r="F121" s="15" t="s">
        <v>9</v>
      </c>
      <c r="G121" s="14" t="s">
        <v>393</v>
      </c>
    </row>
    <row r="122" customFormat="false" ht="23.85" hidden="false" customHeight="false" outlineLevel="0" collapsed="false">
      <c r="A122" s="13" t="n">
        <v>121</v>
      </c>
      <c r="B122" s="13" t="s">
        <v>381</v>
      </c>
      <c r="C122" s="13" t="s">
        <v>394</v>
      </c>
      <c r="D122" s="14" t="s">
        <v>395</v>
      </c>
      <c r="E122" s="13" t="s">
        <v>51</v>
      </c>
      <c r="F122" s="15" t="s">
        <v>9</v>
      </c>
      <c r="G122" s="14" t="s">
        <v>396</v>
      </c>
    </row>
    <row r="123" customFormat="false" ht="15" hidden="false" customHeight="false" outlineLevel="0" collapsed="false">
      <c r="A123" s="13" t="n">
        <v>122</v>
      </c>
      <c r="B123" s="13" t="s">
        <v>381</v>
      </c>
      <c r="C123" s="13" t="s">
        <v>397</v>
      </c>
      <c r="D123" s="14" t="s">
        <v>398</v>
      </c>
      <c r="E123" s="13" t="s">
        <v>51</v>
      </c>
      <c r="F123" s="15" t="s">
        <v>9</v>
      </c>
      <c r="G123" s="14" t="s">
        <v>399</v>
      </c>
    </row>
    <row r="124" customFormat="false" ht="15" hidden="false" customHeight="false" outlineLevel="0" collapsed="false">
      <c r="A124" s="13" t="n">
        <v>123</v>
      </c>
      <c r="B124" s="13" t="s">
        <v>381</v>
      </c>
      <c r="C124" s="13" t="s">
        <v>400</v>
      </c>
      <c r="D124" s="14" t="s">
        <v>401</v>
      </c>
      <c r="E124" s="13" t="s">
        <v>51</v>
      </c>
      <c r="F124" s="15" t="s">
        <v>9</v>
      </c>
      <c r="G124" s="14" t="s">
        <v>402</v>
      </c>
    </row>
    <row r="125" customFormat="false" ht="15" hidden="false" customHeight="false" outlineLevel="0" collapsed="false">
      <c r="A125" s="13" t="n">
        <v>124</v>
      </c>
      <c r="B125" s="13" t="s">
        <v>381</v>
      </c>
      <c r="C125" s="13" t="s">
        <v>403</v>
      </c>
      <c r="D125" s="14" t="s">
        <v>404</v>
      </c>
      <c r="E125" s="13" t="s">
        <v>51</v>
      </c>
      <c r="F125" s="15" t="s">
        <v>9</v>
      </c>
      <c r="G125" s="14" t="s">
        <v>405</v>
      </c>
    </row>
    <row r="126" customFormat="false" ht="15" hidden="false" customHeight="false" outlineLevel="0" collapsed="false">
      <c r="A126" s="13" t="n">
        <v>125</v>
      </c>
      <c r="B126" s="13" t="s">
        <v>381</v>
      </c>
      <c r="C126" s="13" t="s">
        <v>406</v>
      </c>
      <c r="D126" s="14" t="s">
        <v>407</v>
      </c>
      <c r="E126" s="13" t="s">
        <v>51</v>
      </c>
      <c r="F126" s="15" t="s">
        <v>9</v>
      </c>
      <c r="G126" s="14" t="s">
        <v>405</v>
      </c>
    </row>
    <row r="127" customFormat="false" ht="15" hidden="false" customHeight="false" outlineLevel="0" collapsed="false">
      <c r="A127" s="13" t="n">
        <v>126</v>
      </c>
      <c r="B127" s="13" t="s">
        <v>381</v>
      </c>
      <c r="C127" s="13" t="s">
        <v>408</v>
      </c>
      <c r="D127" s="14" t="s">
        <v>409</v>
      </c>
      <c r="E127" s="13" t="s">
        <v>51</v>
      </c>
      <c r="F127" s="15" t="s">
        <v>9</v>
      </c>
      <c r="G127" s="14" t="s">
        <v>399</v>
      </c>
    </row>
    <row r="128" customFormat="false" ht="15" hidden="false" customHeight="false" outlineLevel="0" collapsed="false">
      <c r="A128" s="13" t="n">
        <v>127</v>
      </c>
      <c r="B128" s="13" t="s">
        <v>381</v>
      </c>
      <c r="C128" s="13" t="s">
        <v>410</v>
      </c>
      <c r="D128" s="14" t="s">
        <v>411</v>
      </c>
      <c r="E128" s="13" t="s">
        <v>51</v>
      </c>
      <c r="F128" s="15" t="s">
        <v>9</v>
      </c>
      <c r="G128" s="14" t="s">
        <v>399</v>
      </c>
    </row>
    <row r="129" customFormat="false" ht="15" hidden="false" customHeight="false" outlineLevel="0" collapsed="false">
      <c r="A129" s="13" t="n">
        <v>128</v>
      </c>
      <c r="B129" s="13" t="s">
        <v>381</v>
      </c>
      <c r="C129" s="13" t="s">
        <v>412</v>
      </c>
      <c r="D129" s="14" t="s">
        <v>413</v>
      </c>
      <c r="E129" s="13" t="s">
        <v>51</v>
      </c>
      <c r="F129" s="15" t="s">
        <v>9</v>
      </c>
      <c r="G129" s="14" t="s">
        <v>405</v>
      </c>
    </row>
    <row r="130" customFormat="false" ht="15" hidden="false" customHeight="false" outlineLevel="0" collapsed="false">
      <c r="A130" s="13" t="n">
        <v>129</v>
      </c>
      <c r="B130" s="13" t="s">
        <v>381</v>
      </c>
      <c r="C130" s="13" t="s">
        <v>414</v>
      </c>
      <c r="D130" s="14" t="s">
        <v>415</v>
      </c>
      <c r="E130" s="13" t="s">
        <v>77</v>
      </c>
      <c r="F130" s="15" t="s">
        <v>9</v>
      </c>
      <c r="G130" s="14" t="s">
        <v>416</v>
      </c>
    </row>
    <row r="131" customFormat="false" ht="15" hidden="false" customHeight="false" outlineLevel="0" collapsed="false">
      <c r="A131" s="13" t="n">
        <v>130</v>
      </c>
      <c r="B131" s="13" t="s">
        <v>417</v>
      </c>
      <c r="C131" s="13" t="s">
        <v>418</v>
      </c>
      <c r="D131" s="14" t="s">
        <v>419</v>
      </c>
      <c r="E131" s="13" t="s">
        <v>51</v>
      </c>
      <c r="F131" s="15" t="s">
        <v>9</v>
      </c>
      <c r="G131" s="14" t="s">
        <v>420</v>
      </c>
    </row>
    <row r="132" customFormat="false" ht="15" hidden="false" customHeight="false" outlineLevel="0" collapsed="false">
      <c r="A132" s="13" t="n">
        <v>131</v>
      </c>
      <c r="B132" s="13" t="s">
        <v>417</v>
      </c>
      <c r="C132" s="13" t="s">
        <v>421</v>
      </c>
      <c r="D132" s="14" t="s">
        <v>422</v>
      </c>
      <c r="E132" s="13" t="s">
        <v>51</v>
      </c>
      <c r="F132" s="15" t="s">
        <v>9</v>
      </c>
      <c r="G132" s="14" t="s">
        <v>423</v>
      </c>
    </row>
    <row r="133" customFormat="false" ht="15" hidden="false" customHeight="false" outlineLevel="0" collapsed="false">
      <c r="A133" s="13" t="n">
        <v>132</v>
      </c>
      <c r="B133" s="13" t="s">
        <v>417</v>
      </c>
      <c r="C133" s="13" t="s">
        <v>424</v>
      </c>
      <c r="D133" s="14" t="s">
        <v>425</v>
      </c>
      <c r="E133" s="13" t="s">
        <v>51</v>
      </c>
      <c r="F133" s="15" t="s">
        <v>9</v>
      </c>
      <c r="G133" s="14" t="s">
        <v>426</v>
      </c>
    </row>
    <row r="134" customFormat="false" ht="15" hidden="false" customHeight="false" outlineLevel="0" collapsed="false">
      <c r="A134" s="13" t="n">
        <v>133</v>
      </c>
      <c r="B134" s="13" t="s">
        <v>417</v>
      </c>
      <c r="C134" s="13" t="s">
        <v>427</v>
      </c>
      <c r="D134" s="14" t="s">
        <v>428</v>
      </c>
      <c r="E134" s="13" t="s">
        <v>51</v>
      </c>
      <c r="F134" s="15" t="s">
        <v>9</v>
      </c>
      <c r="G134" s="14" t="s">
        <v>429</v>
      </c>
    </row>
    <row r="135" customFormat="false" ht="15" hidden="false" customHeight="false" outlineLevel="0" collapsed="false">
      <c r="A135" s="13" t="n">
        <v>134</v>
      </c>
      <c r="B135" s="13" t="s">
        <v>417</v>
      </c>
      <c r="C135" s="13" t="s">
        <v>430</v>
      </c>
      <c r="D135" s="14" t="s">
        <v>431</v>
      </c>
      <c r="E135" s="13" t="s">
        <v>51</v>
      </c>
      <c r="F135" s="15" t="s">
        <v>9</v>
      </c>
      <c r="G135" s="14" t="s">
        <v>432</v>
      </c>
    </row>
    <row r="136" customFormat="false" ht="15" hidden="false" customHeight="false" outlineLevel="0" collapsed="false">
      <c r="A136" s="13" t="n">
        <v>135</v>
      </c>
      <c r="B136" s="13" t="s">
        <v>417</v>
      </c>
      <c r="C136" s="13" t="s">
        <v>433</v>
      </c>
      <c r="D136" s="14" t="s">
        <v>434</v>
      </c>
      <c r="E136" s="13" t="s">
        <v>51</v>
      </c>
      <c r="F136" s="15" t="s">
        <v>9</v>
      </c>
      <c r="G136" s="14" t="s">
        <v>435</v>
      </c>
    </row>
    <row r="137" customFormat="false" ht="15" hidden="false" customHeight="false" outlineLevel="0" collapsed="false">
      <c r="A137" s="13" t="n">
        <v>136</v>
      </c>
      <c r="B137" s="13" t="s">
        <v>417</v>
      </c>
      <c r="C137" s="13" t="s">
        <v>436</v>
      </c>
      <c r="D137" s="14" t="s">
        <v>437</v>
      </c>
      <c r="E137" s="13" t="s">
        <v>51</v>
      </c>
      <c r="F137" s="15" t="s">
        <v>9</v>
      </c>
      <c r="G137" s="14" t="s">
        <v>438</v>
      </c>
    </row>
    <row r="138" customFormat="false" ht="15" hidden="false" customHeight="false" outlineLevel="0" collapsed="false">
      <c r="A138" s="13" t="n">
        <v>137</v>
      </c>
      <c r="B138" s="13" t="s">
        <v>417</v>
      </c>
      <c r="C138" s="13" t="s">
        <v>439</v>
      </c>
      <c r="D138" s="14" t="s">
        <v>440</v>
      </c>
      <c r="E138" s="13" t="s">
        <v>51</v>
      </c>
      <c r="F138" s="15" t="s">
        <v>9</v>
      </c>
      <c r="G138" s="14" t="s">
        <v>441</v>
      </c>
    </row>
    <row r="139" customFormat="false" ht="15" hidden="false" customHeight="false" outlineLevel="0" collapsed="false">
      <c r="A139" s="13" t="n">
        <v>138</v>
      </c>
      <c r="B139" s="13" t="s">
        <v>417</v>
      </c>
      <c r="C139" s="13" t="s">
        <v>442</v>
      </c>
      <c r="D139" s="14" t="s">
        <v>443</v>
      </c>
      <c r="E139" s="13" t="s">
        <v>51</v>
      </c>
      <c r="F139" s="15" t="s">
        <v>9</v>
      </c>
      <c r="G139" s="14" t="s">
        <v>444</v>
      </c>
    </row>
    <row r="140" customFormat="false" ht="15" hidden="false" customHeight="false" outlineLevel="0" collapsed="false">
      <c r="A140" s="13" t="n">
        <v>139</v>
      </c>
      <c r="B140" s="13" t="s">
        <v>417</v>
      </c>
      <c r="C140" s="13" t="s">
        <v>445</v>
      </c>
      <c r="D140" s="14" t="s">
        <v>446</v>
      </c>
      <c r="E140" s="13" t="s">
        <v>51</v>
      </c>
      <c r="F140" s="15" t="s">
        <v>9</v>
      </c>
      <c r="G140" s="14" t="s">
        <v>447</v>
      </c>
    </row>
    <row r="141" customFormat="false" ht="35.05" hidden="false" customHeight="false" outlineLevel="0" collapsed="false">
      <c r="A141" s="13" t="n">
        <v>140</v>
      </c>
      <c r="B141" s="13" t="s">
        <v>417</v>
      </c>
      <c r="C141" s="13" t="s">
        <v>448</v>
      </c>
      <c r="D141" s="14" t="s">
        <v>449</v>
      </c>
      <c r="E141" s="13" t="s">
        <v>51</v>
      </c>
      <c r="F141" s="15" t="s">
        <v>9</v>
      </c>
      <c r="G141" s="14" t="s">
        <v>450</v>
      </c>
    </row>
    <row r="142" customFormat="false" ht="23.85" hidden="false" customHeight="false" outlineLevel="0" collapsed="false">
      <c r="A142" s="13" t="n">
        <v>141</v>
      </c>
      <c r="B142" s="13" t="s">
        <v>417</v>
      </c>
      <c r="C142" s="13" t="s">
        <v>451</v>
      </c>
      <c r="D142" s="14" t="s">
        <v>452</v>
      </c>
      <c r="E142" s="13" t="s">
        <v>51</v>
      </c>
      <c r="F142" s="15" t="s">
        <v>9</v>
      </c>
      <c r="G142" s="14" t="s">
        <v>453</v>
      </c>
    </row>
    <row r="143" customFormat="false" ht="23.85" hidden="false" customHeight="false" outlineLevel="0" collapsed="false">
      <c r="A143" s="13" t="n">
        <v>142</v>
      </c>
      <c r="B143" s="13" t="s">
        <v>417</v>
      </c>
      <c r="C143" s="13" t="s">
        <v>454</v>
      </c>
      <c r="D143" s="14" t="s">
        <v>455</v>
      </c>
      <c r="E143" s="13" t="s">
        <v>51</v>
      </c>
      <c r="F143" s="15" t="s">
        <v>9</v>
      </c>
      <c r="G143" s="14" t="s">
        <v>456</v>
      </c>
    </row>
    <row r="144" customFormat="false" ht="15" hidden="false" customHeight="false" outlineLevel="0" collapsed="false">
      <c r="A144" s="13" t="n">
        <v>143</v>
      </c>
      <c r="B144" s="13" t="s">
        <v>417</v>
      </c>
      <c r="C144" s="13" t="s">
        <v>457</v>
      </c>
      <c r="D144" s="14" t="s">
        <v>458</v>
      </c>
      <c r="E144" s="13" t="s">
        <v>51</v>
      </c>
      <c r="F144" s="15" t="s">
        <v>9</v>
      </c>
      <c r="G144" s="14" t="s">
        <v>459</v>
      </c>
    </row>
    <row r="145" customFormat="false" ht="15" hidden="false" customHeight="false" outlineLevel="0" collapsed="false">
      <c r="A145" s="13" t="n">
        <v>144</v>
      </c>
      <c r="B145" s="13" t="s">
        <v>417</v>
      </c>
      <c r="C145" s="13" t="s">
        <v>460</v>
      </c>
      <c r="D145" s="14" t="s">
        <v>461</v>
      </c>
      <c r="E145" s="13" t="s">
        <v>51</v>
      </c>
      <c r="F145" s="15" t="s">
        <v>9</v>
      </c>
      <c r="G145" s="14" t="s">
        <v>462</v>
      </c>
    </row>
    <row r="146" customFormat="false" ht="15" hidden="false" customHeight="false" outlineLevel="0" collapsed="false">
      <c r="A146" s="13" t="n">
        <v>145</v>
      </c>
      <c r="B146" s="13" t="s">
        <v>417</v>
      </c>
      <c r="C146" s="13" t="s">
        <v>463</v>
      </c>
      <c r="D146" s="14" t="s">
        <v>464</v>
      </c>
      <c r="E146" s="13" t="s">
        <v>51</v>
      </c>
      <c r="F146" s="15" t="s">
        <v>9</v>
      </c>
      <c r="G146" s="14" t="s">
        <v>465</v>
      </c>
    </row>
    <row r="147" customFormat="false" ht="46.25" hidden="false" customHeight="false" outlineLevel="0" collapsed="false">
      <c r="A147" s="13" t="n">
        <v>146</v>
      </c>
      <c r="B147" s="13" t="s">
        <v>417</v>
      </c>
      <c r="C147" s="13" t="s">
        <v>466</v>
      </c>
      <c r="D147" s="14" t="s">
        <v>467</v>
      </c>
      <c r="E147" s="13" t="s">
        <v>51</v>
      </c>
      <c r="F147" s="15" t="s">
        <v>9</v>
      </c>
      <c r="G147" s="14" t="s">
        <v>468</v>
      </c>
    </row>
    <row r="148" customFormat="false" ht="15" hidden="false" customHeight="false" outlineLevel="0" collapsed="false">
      <c r="A148" s="13" t="n">
        <v>147</v>
      </c>
      <c r="B148" s="13" t="s">
        <v>417</v>
      </c>
      <c r="C148" s="13" t="s">
        <v>469</v>
      </c>
      <c r="D148" s="14" t="s">
        <v>470</v>
      </c>
      <c r="E148" s="13" t="s">
        <v>51</v>
      </c>
      <c r="F148" s="15" t="s">
        <v>9</v>
      </c>
      <c r="G148" s="14" t="s">
        <v>471</v>
      </c>
    </row>
    <row r="149" customFormat="false" ht="46.25" hidden="false" customHeight="false" outlineLevel="0" collapsed="false">
      <c r="A149" s="13" t="n">
        <v>148</v>
      </c>
      <c r="B149" s="13" t="s">
        <v>417</v>
      </c>
      <c r="C149" s="13" t="s">
        <v>472</v>
      </c>
      <c r="D149" s="14" t="s">
        <v>473</v>
      </c>
      <c r="E149" s="13" t="s">
        <v>51</v>
      </c>
      <c r="F149" s="15" t="s">
        <v>9</v>
      </c>
      <c r="G149" s="14" t="s">
        <v>474</v>
      </c>
    </row>
    <row r="150" customFormat="false" ht="35.05" hidden="false" customHeight="false" outlineLevel="0" collapsed="false">
      <c r="A150" s="13" t="n">
        <v>149</v>
      </c>
      <c r="B150" s="13" t="s">
        <v>417</v>
      </c>
      <c r="C150" s="13" t="s">
        <v>475</v>
      </c>
      <c r="D150" s="14" t="s">
        <v>476</v>
      </c>
      <c r="E150" s="13" t="s">
        <v>51</v>
      </c>
      <c r="F150" s="15" t="s">
        <v>9</v>
      </c>
      <c r="G150" s="14" t="s">
        <v>477</v>
      </c>
    </row>
    <row r="151" customFormat="false" ht="35.05" hidden="false" customHeight="false" outlineLevel="0" collapsed="false">
      <c r="A151" s="13" t="n">
        <v>150</v>
      </c>
      <c r="B151" s="13" t="s">
        <v>417</v>
      </c>
      <c r="C151" s="13" t="s">
        <v>478</v>
      </c>
      <c r="D151" s="14" t="s">
        <v>479</v>
      </c>
      <c r="E151" s="13" t="s">
        <v>51</v>
      </c>
      <c r="F151" s="15" t="s">
        <v>9</v>
      </c>
      <c r="G151" s="14" t="s">
        <v>477</v>
      </c>
    </row>
    <row r="152" customFormat="false" ht="23.85" hidden="false" customHeight="false" outlineLevel="0" collapsed="false">
      <c r="A152" s="13" t="n">
        <v>151</v>
      </c>
      <c r="B152" s="13" t="s">
        <v>480</v>
      </c>
      <c r="C152" s="13" t="s">
        <v>481</v>
      </c>
      <c r="D152" s="14" t="s">
        <v>482</v>
      </c>
      <c r="E152" s="13" t="s">
        <v>51</v>
      </c>
      <c r="F152" s="15" t="s">
        <v>9</v>
      </c>
      <c r="G152" s="14" t="s">
        <v>483</v>
      </c>
    </row>
    <row r="153" customFormat="false" ht="15" hidden="false" customHeight="false" outlineLevel="0" collapsed="false">
      <c r="A153" s="13" t="n">
        <v>152</v>
      </c>
      <c r="B153" s="13" t="s">
        <v>480</v>
      </c>
      <c r="C153" s="13" t="s">
        <v>484</v>
      </c>
      <c r="D153" s="14" t="s">
        <v>485</v>
      </c>
      <c r="E153" s="13" t="s">
        <v>51</v>
      </c>
      <c r="F153" s="15" t="s">
        <v>9</v>
      </c>
      <c r="G153" s="14" t="s">
        <v>486</v>
      </c>
    </row>
    <row r="154" customFormat="false" ht="15" hidden="false" customHeight="false" outlineLevel="0" collapsed="false">
      <c r="A154" s="13" t="n">
        <v>153</v>
      </c>
      <c r="B154" s="13" t="s">
        <v>480</v>
      </c>
      <c r="C154" s="13" t="s">
        <v>487</v>
      </c>
      <c r="D154" s="14" t="s">
        <v>488</v>
      </c>
      <c r="E154" s="13" t="s">
        <v>51</v>
      </c>
      <c r="F154" s="15" t="s">
        <v>9</v>
      </c>
      <c r="G154" s="14" t="s">
        <v>489</v>
      </c>
    </row>
    <row r="155" customFormat="false" ht="15" hidden="false" customHeight="false" outlineLevel="0" collapsed="false">
      <c r="A155" s="13" t="n">
        <v>154</v>
      </c>
      <c r="B155" s="13" t="s">
        <v>480</v>
      </c>
      <c r="C155" s="13" t="s">
        <v>490</v>
      </c>
      <c r="D155" s="14" t="s">
        <v>491</v>
      </c>
      <c r="E155" s="13" t="s">
        <v>51</v>
      </c>
      <c r="F155" s="15" t="s">
        <v>9</v>
      </c>
      <c r="G155" s="14" t="s">
        <v>489</v>
      </c>
    </row>
    <row r="156" customFormat="false" ht="15" hidden="false" customHeight="false" outlineLevel="0" collapsed="false">
      <c r="A156" s="13" t="n">
        <v>155</v>
      </c>
      <c r="B156" s="13" t="s">
        <v>480</v>
      </c>
      <c r="C156" s="13" t="s">
        <v>492</v>
      </c>
      <c r="D156" s="14" t="s">
        <v>493</v>
      </c>
      <c r="E156" s="13" t="s">
        <v>77</v>
      </c>
      <c r="F156" s="15" t="s">
        <v>9</v>
      </c>
      <c r="G156" s="14" t="s">
        <v>489</v>
      </c>
    </row>
    <row r="157" customFormat="false" ht="15" hidden="false" customHeight="false" outlineLevel="0" collapsed="false">
      <c r="A157" s="13" t="n">
        <v>156</v>
      </c>
      <c r="B157" s="13" t="s">
        <v>480</v>
      </c>
      <c r="C157" s="13" t="s">
        <v>494</v>
      </c>
      <c r="D157" s="14" t="s">
        <v>495</v>
      </c>
      <c r="E157" s="13" t="s">
        <v>51</v>
      </c>
      <c r="F157" s="15" t="s">
        <v>9</v>
      </c>
      <c r="G157" s="14" t="s">
        <v>496</v>
      </c>
    </row>
    <row r="158" customFormat="false" ht="15" hidden="false" customHeight="false" outlineLevel="0" collapsed="false">
      <c r="A158" s="13" t="n">
        <v>157</v>
      </c>
      <c r="B158" s="13" t="s">
        <v>480</v>
      </c>
      <c r="C158" s="13" t="s">
        <v>497</v>
      </c>
      <c r="D158" s="14" t="s">
        <v>498</v>
      </c>
      <c r="E158" s="13" t="s">
        <v>51</v>
      </c>
      <c r="F158" s="15" t="s">
        <v>9</v>
      </c>
      <c r="G158" s="14" t="s">
        <v>496</v>
      </c>
    </row>
    <row r="159" customFormat="false" ht="15" hidden="false" customHeight="false" outlineLevel="0" collapsed="false">
      <c r="A159" s="13" t="n">
        <v>158</v>
      </c>
      <c r="B159" s="13" t="s">
        <v>480</v>
      </c>
      <c r="C159" s="13" t="s">
        <v>499</v>
      </c>
      <c r="D159" s="14" t="s">
        <v>500</v>
      </c>
      <c r="E159" s="13" t="s">
        <v>51</v>
      </c>
      <c r="F159" s="15" t="s">
        <v>9</v>
      </c>
      <c r="G159" s="14" t="s">
        <v>501</v>
      </c>
    </row>
    <row r="160" customFormat="false" ht="15" hidden="false" customHeight="false" outlineLevel="0" collapsed="false">
      <c r="A160" s="13" t="n">
        <v>159</v>
      </c>
      <c r="B160" s="13" t="s">
        <v>480</v>
      </c>
      <c r="C160" s="13" t="s">
        <v>502</v>
      </c>
      <c r="D160" s="14" t="s">
        <v>503</v>
      </c>
      <c r="E160" s="13" t="s">
        <v>51</v>
      </c>
      <c r="F160" s="15" t="s">
        <v>9</v>
      </c>
      <c r="G160" s="14" t="s">
        <v>504</v>
      </c>
    </row>
    <row r="161" customFormat="false" ht="15" hidden="false" customHeight="false" outlineLevel="0" collapsed="false">
      <c r="A161" s="13" t="n">
        <v>160</v>
      </c>
      <c r="B161" s="13" t="s">
        <v>480</v>
      </c>
      <c r="C161" s="13" t="s">
        <v>505</v>
      </c>
      <c r="D161" s="14" t="s">
        <v>506</v>
      </c>
      <c r="E161" s="13" t="s">
        <v>51</v>
      </c>
      <c r="F161" s="15" t="s">
        <v>9</v>
      </c>
      <c r="G161" s="14" t="s">
        <v>507</v>
      </c>
    </row>
    <row r="162" customFormat="false" ht="15" hidden="false" customHeight="false" outlineLevel="0" collapsed="false">
      <c r="A162" s="13" t="n">
        <v>161</v>
      </c>
      <c r="B162" s="13" t="s">
        <v>480</v>
      </c>
      <c r="C162" s="13" t="s">
        <v>508</v>
      </c>
      <c r="D162" s="14" t="s">
        <v>446</v>
      </c>
      <c r="E162" s="13" t="s">
        <v>51</v>
      </c>
      <c r="F162" s="15" t="s">
        <v>9</v>
      </c>
      <c r="G162" s="14" t="s">
        <v>509</v>
      </c>
    </row>
    <row r="163" customFormat="false" ht="15" hidden="false" customHeight="false" outlineLevel="0" collapsed="false">
      <c r="A163" s="13" t="n">
        <v>162</v>
      </c>
      <c r="B163" s="13" t="s">
        <v>480</v>
      </c>
      <c r="C163" s="13" t="s">
        <v>510</v>
      </c>
      <c r="D163" s="14" t="s">
        <v>511</v>
      </c>
      <c r="E163" s="13" t="s">
        <v>51</v>
      </c>
      <c r="F163" s="15" t="s">
        <v>9</v>
      </c>
      <c r="G163" s="14" t="s">
        <v>512</v>
      </c>
    </row>
    <row r="164" customFormat="false" ht="15" hidden="false" customHeight="false" outlineLevel="0" collapsed="false">
      <c r="A164" s="13" t="n">
        <v>163</v>
      </c>
      <c r="B164" s="13" t="s">
        <v>480</v>
      </c>
      <c r="C164" s="13" t="s">
        <v>513</v>
      </c>
      <c r="D164" s="14" t="s">
        <v>514</v>
      </c>
      <c r="E164" s="13" t="s">
        <v>77</v>
      </c>
      <c r="F164" s="15" t="s">
        <v>9</v>
      </c>
      <c r="G164" s="14" t="s">
        <v>515</v>
      </c>
    </row>
    <row r="165" customFormat="false" ht="15" hidden="false" customHeight="false" outlineLevel="0" collapsed="false">
      <c r="A165" s="13" t="n">
        <v>164</v>
      </c>
      <c r="B165" s="13" t="s">
        <v>480</v>
      </c>
      <c r="C165" s="13" t="s">
        <v>516</v>
      </c>
      <c r="D165" s="14" t="s">
        <v>517</v>
      </c>
      <c r="E165" s="13" t="s">
        <v>51</v>
      </c>
      <c r="F165" s="15" t="s">
        <v>9</v>
      </c>
      <c r="G165" s="14" t="s">
        <v>518</v>
      </c>
    </row>
    <row r="166" customFormat="false" ht="23.85" hidden="false" customHeight="false" outlineLevel="0" collapsed="false">
      <c r="A166" s="13" t="n">
        <v>165</v>
      </c>
      <c r="B166" s="13" t="s">
        <v>519</v>
      </c>
      <c r="C166" s="13" t="s">
        <v>520</v>
      </c>
      <c r="D166" s="14" t="s">
        <v>521</v>
      </c>
      <c r="E166" s="13" t="s">
        <v>51</v>
      </c>
      <c r="F166" s="15" t="s">
        <v>9</v>
      </c>
      <c r="G166" s="14" t="s">
        <v>522</v>
      </c>
    </row>
    <row r="167" customFormat="false" ht="15" hidden="false" customHeight="false" outlineLevel="0" collapsed="false">
      <c r="A167" s="13" t="n">
        <v>166</v>
      </c>
      <c r="B167" s="13" t="s">
        <v>519</v>
      </c>
      <c r="C167" s="13" t="s">
        <v>523</v>
      </c>
      <c r="D167" s="14" t="s">
        <v>524</v>
      </c>
      <c r="E167" s="13" t="s">
        <v>51</v>
      </c>
      <c r="F167" s="15" t="s">
        <v>9</v>
      </c>
      <c r="G167" s="14" t="s">
        <v>525</v>
      </c>
    </row>
    <row r="168" customFormat="false" ht="15" hidden="false" customHeight="false" outlineLevel="0" collapsed="false">
      <c r="A168" s="13" t="n">
        <v>167</v>
      </c>
      <c r="B168" s="13" t="s">
        <v>519</v>
      </c>
      <c r="C168" s="13" t="s">
        <v>526</v>
      </c>
      <c r="D168" s="14" t="s">
        <v>527</v>
      </c>
      <c r="E168" s="13" t="s">
        <v>51</v>
      </c>
      <c r="F168" s="15" t="s">
        <v>9</v>
      </c>
      <c r="G168" s="14" t="s">
        <v>525</v>
      </c>
    </row>
    <row r="169" customFormat="false" ht="15" hidden="false" customHeight="false" outlineLevel="0" collapsed="false">
      <c r="A169" s="13" t="n">
        <v>168</v>
      </c>
      <c r="B169" s="13" t="s">
        <v>519</v>
      </c>
      <c r="C169" s="13" t="s">
        <v>528</v>
      </c>
      <c r="D169" s="14" t="s">
        <v>529</v>
      </c>
      <c r="E169" s="13" t="s">
        <v>51</v>
      </c>
      <c r="F169" s="15" t="s">
        <v>9</v>
      </c>
      <c r="G169" s="14" t="s">
        <v>530</v>
      </c>
    </row>
    <row r="170" customFormat="false" ht="15" hidden="false" customHeight="false" outlineLevel="0" collapsed="false">
      <c r="A170" s="13" t="n">
        <v>169</v>
      </c>
      <c r="B170" s="13" t="s">
        <v>519</v>
      </c>
      <c r="C170" s="13" t="s">
        <v>531</v>
      </c>
      <c r="D170" s="14" t="s">
        <v>532</v>
      </c>
      <c r="E170" s="13" t="s">
        <v>51</v>
      </c>
      <c r="F170" s="15" t="s">
        <v>9</v>
      </c>
      <c r="G170" s="14" t="s">
        <v>533</v>
      </c>
    </row>
    <row r="171" customFormat="false" ht="15" hidden="false" customHeight="false" outlineLevel="0" collapsed="false">
      <c r="A171" s="13" t="n">
        <v>170</v>
      </c>
      <c r="B171" s="13" t="s">
        <v>519</v>
      </c>
      <c r="C171" s="13" t="s">
        <v>534</v>
      </c>
      <c r="D171" s="14" t="s">
        <v>71</v>
      </c>
      <c r="E171" s="13" t="s">
        <v>51</v>
      </c>
      <c r="F171" s="15" t="s">
        <v>9</v>
      </c>
      <c r="G171" s="14" t="s">
        <v>533</v>
      </c>
    </row>
    <row r="172" customFormat="false" ht="15" hidden="false" customHeight="false" outlineLevel="0" collapsed="false">
      <c r="A172" s="13" t="n">
        <v>171</v>
      </c>
      <c r="B172" s="13" t="s">
        <v>519</v>
      </c>
      <c r="C172" s="13" t="s">
        <v>535</v>
      </c>
      <c r="D172" s="14" t="s">
        <v>536</v>
      </c>
      <c r="E172" s="13" t="s">
        <v>51</v>
      </c>
      <c r="F172" s="15" t="s">
        <v>9</v>
      </c>
      <c r="G172" s="14" t="s">
        <v>537</v>
      </c>
    </row>
    <row r="173" customFormat="false" ht="15" hidden="false" customHeight="false" outlineLevel="0" collapsed="false">
      <c r="A173" s="13" t="n">
        <v>172</v>
      </c>
      <c r="B173" s="13" t="s">
        <v>519</v>
      </c>
      <c r="C173" s="13" t="s">
        <v>538</v>
      </c>
      <c r="D173" s="14" t="s">
        <v>539</v>
      </c>
      <c r="E173" s="13" t="s">
        <v>51</v>
      </c>
      <c r="F173" s="15" t="s">
        <v>9</v>
      </c>
      <c r="G173" s="14" t="s">
        <v>540</v>
      </c>
    </row>
    <row r="174" customFormat="false" ht="15" hidden="false" customHeight="false" outlineLevel="0" collapsed="false">
      <c r="A174" s="13" t="n">
        <v>173</v>
      </c>
      <c r="B174" s="13" t="s">
        <v>519</v>
      </c>
      <c r="C174" s="13" t="s">
        <v>541</v>
      </c>
      <c r="D174" s="14" t="s">
        <v>542</v>
      </c>
      <c r="E174" s="13" t="s">
        <v>51</v>
      </c>
      <c r="F174" s="15" t="s">
        <v>9</v>
      </c>
      <c r="G174" s="14" t="s">
        <v>540</v>
      </c>
    </row>
    <row r="175" customFormat="false" ht="15" hidden="false" customHeight="false" outlineLevel="0" collapsed="false">
      <c r="A175" s="13" t="n">
        <v>174</v>
      </c>
      <c r="B175" s="13" t="s">
        <v>519</v>
      </c>
      <c r="C175" s="13" t="s">
        <v>543</v>
      </c>
      <c r="D175" s="14" t="s">
        <v>544</v>
      </c>
      <c r="E175" s="13" t="s">
        <v>51</v>
      </c>
      <c r="F175" s="15" t="s">
        <v>9</v>
      </c>
      <c r="G175" s="14" t="s">
        <v>540</v>
      </c>
    </row>
    <row r="176" customFormat="false" ht="23.85" hidden="false" customHeight="false" outlineLevel="0" collapsed="false">
      <c r="A176" s="13" t="n">
        <v>175</v>
      </c>
      <c r="B176" s="13" t="s">
        <v>519</v>
      </c>
      <c r="C176" s="13" t="s">
        <v>545</v>
      </c>
      <c r="D176" s="14" t="s">
        <v>546</v>
      </c>
      <c r="E176" s="13" t="s">
        <v>51</v>
      </c>
      <c r="F176" s="15" t="s">
        <v>9</v>
      </c>
      <c r="G176" s="14" t="s">
        <v>547</v>
      </c>
    </row>
    <row r="177" customFormat="false" ht="23.85" hidden="false" customHeight="false" outlineLevel="0" collapsed="false">
      <c r="A177" s="13" t="n">
        <v>176</v>
      </c>
      <c r="B177" s="13" t="s">
        <v>519</v>
      </c>
      <c r="C177" s="13" t="s">
        <v>548</v>
      </c>
      <c r="D177" s="14" t="s">
        <v>549</v>
      </c>
      <c r="E177" s="13" t="s">
        <v>51</v>
      </c>
      <c r="F177" s="15" t="s">
        <v>9</v>
      </c>
      <c r="G177" s="14" t="s">
        <v>547</v>
      </c>
    </row>
    <row r="178" customFormat="false" ht="23.85" hidden="false" customHeight="false" outlineLevel="0" collapsed="false">
      <c r="A178" s="13" t="n">
        <v>177</v>
      </c>
      <c r="B178" s="13" t="s">
        <v>519</v>
      </c>
      <c r="C178" s="13" t="s">
        <v>550</v>
      </c>
      <c r="D178" s="14" t="s">
        <v>551</v>
      </c>
      <c r="E178" s="13" t="s">
        <v>51</v>
      </c>
      <c r="F178" s="15" t="s">
        <v>9</v>
      </c>
      <c r="G178" s="14" t="s">
        <v>552</v>
      </c>
    </row>
    <row r="179" customFormat="false" ht="15" hidden="false" customHeight="false" outlineLevel="0" collapsed="false">
      <c r="A179" s="13" t="n">
        <v>178</v>
      </c>
      <c r="B179" s="13" t="s">
        <v>519</v>
      </c>
      <c r="C179" s="13" t="s">
        <v>553</v>
      </c>
      <c r="D179" s="14" t="s">
        <v>554</v>
      </c>
      <c r="E179" s="13" t="s">
        <v>77</v>
      </c>
      <c r="F179" s="15" t="s">
        <v>9</v>
      </c>
      <c r="G179" s="14" t="s">
        <v>540</v>
      </c>
    </row>
    <row r="180" customFormat="false" ht="35.05" hidden="false" customHeight="false" outlineLevel="0" collapsed="false">
      <c r="A180" s="13" t="n">
        <v>179</v>
      </c>
      <c r="B180" s="13" t="s">
        <v>519</v>
      </c>
      <c r="C180" s="13" t="s">
        <v>555</v>
      </c>
      <c r="D180" s="14" t="s">
        <v>556</v>
      </c>
      <c r="E180" s="13" t="s">
        <v>51</v>
      </c>
      <c r="F180" s="15" t="s">
        <v>9</v>
      </c>
      <c r="G180" s="14" t="s">
        <v>557</v>
      </c>
    </row>
    <row r="181" customFormat="false" ht="15" hidden="false" customHeight="false" outlineLevel="0" collapsed="false">
      <c r="A181" s="13" t="n">
        <v>180</v>
      </c>
      <c r="B181" s="13" t="s">
        <v>519</v>
      </c>
      <c r="C181" s="13" t="s">
        <v>558</v>
      </c>
      <c r="D181" s="14" t="s">
        <v>559</v>
      </c>
      <c r="E181" s="13" t="s">
        <v>51</v>
      </c>
      <c r="F181" s="15" t="s">
        <v>9</v>
      </c>
      <c r="G181" s="14" t="s">
        <v>560</v>
      </c>
    </row>
    <row r="182" customFormat="false" ht="15" hidden="false" customHeight="false" outlineLevel="0" collapsed="false">
      <c r="A182" s="13" t="n">
        <v>181</v>
      </c>
      <c r="B182" s="13" t="s">
        <v>519</v>
      </c>
      <c r="C182" s="13" t="s">
        <v>561</v>
      </c>
      <c r="D182" s="14" t="s">
        <v>562</v>
      </c>
      <c r="E182" s="13" t="s">
        <v>51</v>
      </c>
      <c r="F182" s="15" t="s">
        <v>9</v>
      </c>
      <c r="G182" s="14" t="s">
        <v>563</v>
      </c>
    </row>
    <row r="183" customFormat="false" ht="35.05" hidden="false" customHeight="false" outlineLevel="0" collapsed="false">
      <c r="A183" s="13" t="n">
        <v>182</v>
      </c>
      <c r="B183" s="13" t="s">
        <v>519</v>
      </c>
      <c r="C183" s="13" t="s">
        <v>564</v>
      </c>
      <c r="D183" s="14" t="s">
        <v>565</v>
      </c>
      <c r="E183" s="13" t="s">
        <v>51</v>
      </c>
      <c r="F183" s="15" t="s">
        <v>9</v>
      </c>
      <c r="G183" s="14" t="s">
        <v>566</v>
      </c>
    </row>
    <row r="184" customFormat="false" ht="23.85" hidden="false" customHeight="false" outlineLevel="0" collapsed="false">
      <c r="A184" s="13" t="n">
        <v>183</v>
      </c>
      <c r="B184" s="13" t="s">
        <v>519</v>
      </c>
      <c r="C184" s="13" t="s">
        <v>567</v>
      </c>
      <c r="D184" s="14" t="s">
        <v>568</v>
      </c>
      <c r="E184" s="13" t="s">
        <v>77</v>
      </c>
      <c r="F184" s="15" t="s">
        <v>9</v>
      </c>
      <c r="G184" s="14" t="s">
        <v>569</v>
      </c>
    </row>
    <row r="185" customFormat="false" ht="15" hidden="false" customHeight="false" outlineLevel="0" collapsed="false">
      <c r="A185" s="13" t="n">
        <v>184</v>
      </c>
      <c r="B185" s="13" t="s">
        <v>519</v>
      </c>
      <c r="C185" s="13" t="s">
        <v>570</v>
      </c>
      <c r="D185" s="14" t="s">
        <v>571</v>
      </c>
      <c r="E185" s="13" t="s">
        <v>51</v>
      </c>
      <c r="F185" s="15" t="s">
        <v>9</v>
      </c>
      <c r="G185" s="14" t="s">
        <v>572</v>
      </c>
    </row>
    <row r="186" customFormat="false" ht="236.55" hidden="false" customHeight="false" outlineLevel="0" collapsed="false">
      <c r="A186" s="13" t="n">
        <v>185</v>
      </c>
      <c r="B186" s="13" t="s">
        <v>573</v>
      </c>
      <c r="C186" s="13" t="s">
        <v>574</v>
      </c>
      <c r="D186" s="14" t="s">
        <v>575</v>
      </c>
      <c r="E186" s="13" t="s">
        <v>51</v>
      </c>
      <c r="F186" s="15" t="s">
        <v>9</v>
      </c>
      <c r="G186" s="14" t="s">
        <v>576</v>
      </c>
    </row>
    <row r="187" customFormat="false" ht="236.55" hidden="false" customHeight="false" outlineLevel="0" collapsed="false">
      <c r="A187" s="13" t="n">
        <v>186</v>
      </c>
      <c r="B187" s="13" t="s">
        <v>573</v>
      </c>
      <c r="C187" s="13" t="s">
        <v>577</v>
      </c>
      <c r="D187" s="14" t="s">
        <v>578</v>
      </c>
      <c r="E187" s="13" t="s">
        <v>51</v>
      </c>
      <c r="F187" s="15" t="s">
        <v>9</v>
      </c>
      <c r="G187" s="14" t="s">
        <v>576</v>
      </c>
    </row>
    <row r="188" customFormat="false" ht="236.55" hidden="false" customHeight="false" outlineLevel="0" collapsed="false">
      <c r="A188" s="13" t="n">
        <v>187</v>
      </c>
      <c r="B188" s="13" t="s">
        <v>573</v>
      </c>
      <c r="C188" s="13" t="s">
        <v>579</v>
      </c>
      <c r="D188" s="14" t="s">
        <v>580</v>
      </c>
      <c r="E188" s="13" t="s">
        <v>51</v>
      </c>
      <c r="F188" s="15" t="s">
        <v>9</v>
      </c>
      <c r="G188" s="14" t="s">
        <v>576</v>
      </c>
    </row>
    <row r="189" customFormat="false" ht="236.55" hidden="false" customHeight="false" outlineLevel="0" collapsed="false">
      <c r="A189" s="13" t="n">
        <v>188</v>
      </c>
      <c r="B189" s="13" t="s">
        <v>573</v>
      </c>
      <c r="C189" s="13" t="s">
        <v>581</v>
      </c>
      <c r="D189" s="14" t="s">
        <v>582</v>
      </c>
      <c r="E189" s="13" t="s">
        <v>51</v>
      </c>
      <c r="F189" s="15" t="s">
        <v>9</v>
      </c>
      <c r="G189" s="14" t="s">
        <v>576</v>
      </c>
    </row>
    <row r="190" customFormat="false" ht="46.25" hidden="false" customHeight="false" outlineLevel="0" collapsed="false">
      <c r="A190" s="13" t="n">
        <v>189</v>
      </c>
      <c r="B190" s="13" t="s">
        <v>573</v>
      </c>
      <c r="C190" s="13" t="s">
        <v>583</v>
      </c>
      <c r="D190" s="14" t="s">
        <v>584</v>
      </c>
      <c r="E190" s="13" t="s">
        <v>51</v>
      </c>
      <c r="F190" s="15" t="s">
        <v>9</v>
      </c>
      <c r="G190" s="14" t="s">
        <v>585</v>
      </c>
    </row>
    <row r="191" customFormat="false" ht="46.25" hidden="false" customHeight="false" outlineLevel="0" collapsed="false">
      <c r="A191" s="13" t="n">
        <v>190</v>
      </c>
      <c r="B191" s="13" t="s">
        <v>573</v>
      </c>
      <c r="C191" s="13" t="s">
        <v>586</v>
      </c>
      <c r="D191" s="14" t="s">
        <v>587</v>
      </c>
      <c r="E191" s="13" t="s">
        <v>51</v>
      </c>
      <c r="F191" s="15" t="s">
        <v>9</v>
      </c>
      <c r="G191" s="14" t="s">
        <v>585</v>
      </c>
    </row>
    <row r="192" customFormat="false" ht="46.25" hidden="false" customHeight="false" outlineLevel="0" collapsed="false">
      <c r="A192" s="13" t="n">
        <v>191</v>
      </c>
      <c r="B192" s="13" t="s">
        <v>573</v>
      </c>
      <c r="C192" s="13" t="s">
        <v>588</v>
      </c>
      <c r="D192" s="14" t="s">
        <v>589</v>
      </c>
      <c r="E192" s="13" t="s">
        <v>51</v>
      </c>
      <c r="F192" s="15" t="s">
        <v>9</v>
      </c>
      <c r="G192" s="14" t="s">
        <v>585</v>
      </c>
    </row>
    <row r="193" customFormat="false" ht="46.25" hidden="false" customHeight="false" outlineLevel="0" collapsed="false">
      <c r="A193" s="13" t="n">
        <v>192</v>
      </c>
      <c r="B193" s="13" t="s">
        <v>573</v>
      </c>
      <c r="C193" s="13" t="s">
        <v>590</v>
      </c>
      <c r="D193" s="14" t="s">
        <v>591</v>
      </c>
      <c r="E193" s="13" t="s">
        <v>51</v>
      </c>
      <c r="F193" s="15" t="s">
        <v>9</v>
      </c>
      <c r="G193" s="14" t="s">
        <v>585</v>
      </c>
    </row>
    <row r="194" customFormat="false" ht="23.85" hidden="false" customHeight="false" outlineLevel="0" collapsed="false">
      <c r="A194" s="13" t="n">
        <v>193</v>
      </c>
      <c r="B194" s="13" t="s">
        <v>573</v>
      </c>
      <c r="C194" s="13" t="s">
        <v>592</v>
      </c>
      <c r="D194" s="14" t="s">
        <v>593</v>
      </c>
      <c r="E194" s="13" t="s">
        <v>51</v>
      </c>
      <c r="F194" s="15" t="s">
        <v>9</v>
      </c>
      <c r="G194" s="14" t="s">
        <v>594</v>
      </c>
    </row>
    <row r="195" customFormat="false" ht="35.05" hidden="false" customHeight="false" outlineLevel="0" collapsed="false">
      <c r="A195" s="13" t="n">
        <v>194</v>
      </c>
      <c r="B195" s="13" t="s">
        <v>573</v>
      </c>
      <c r="C195" s="13" t="s">
        <v>595</v>
      </c>
      <c r="D195" s="14" t="s">
        <v>596</v>
      </c>
      <c r="E195" s="13" t="s">
        <v>51</v>
      </c>
      <c r="F195" s="15" t="s">
        <v>9</v>
      </c>
      <c r="G195" s="14" t="s">
        <v>597</v>
      </c>
    </row>
    <row r="196" customFormat="false" ht="15" hidden="false" customHeight="false" outlineLevel="0" collapsed="false">
      <c r="A196" s="13" t="n">
        <v>195</v>
      </c>
      <c r="B196" s="13" t="s">
        <v>598</v>
      </c>
      <c r="C196" s="13" t="s">
        <v>599</v>
      </c>
      <c r="D196" s="14" t="s">
        <v>600</v>
      </c>
      <c r="E196" s="13" t="s">
        <v>51</v>
      </c>
      <c r="F196" s="15" t="s">
        <v>9</v>
      </c>
      <c r="G196" s="14" t="s">
        <v>601</v>
      </c>
    </row>
    <row r="197" customFormat="false" ht="15" hidden="false" customHeight="false" outlineLevel="0" collapsed="false">
      <c r="A197" s="13" t="n">
        <v>196</v>
      </c>
      <c r="B197" s="13" t="s">
        <v>598</v>
      </c>
      <c r="C197" s="13" t="s">
        <v>602</v>
      </c>
      <c r="D197" s="14" t="s">
        <v>603</v>
      </c>
      <c r="E197" s="13" t="s">
        <v>51</v>
      </c>
      <c r="F197" s="15" t="s">
        <v>9</v>
      </c>
      <c r="G197" s="14" t="s">
        <v>601</v>
      </c>
    </row>
    <row r="198" customFormat="false" ht="23.85" hidden="false" customHeight="false" outlineLevel="0" collapsed="false">
      <c r="A198" s="13" t="n">
        <v>197</v>
      </c>
      <c r="B198" s="13" t="s">
        <v>598</v>
      </c>
      <c r="C198" s="13" t="s">
        <v>604</v>
      </c>
      <c r="D198" s="14" t="s">
        <v>605</v>
      </c>
      <c r="E198" s="13" t="s">
        <v>51</v>
      </c>
      <c r="F198" s="15" t="s">
        <v>9</v>
      </c>
      <c r="G198" s="14" t="s">
        <v>601</v>
      </c>
    </row>
    <row r="199" customFormat="false" ht="15" hidden="false" customHeight="false" outlineLevel="0" collapsed="false">
      <c r="A199" s="13" t="n">
        <v>198</v>
      </c>
      <c r="B199" s="13" t="s">
        <v>598</v>
      </c>
      <c r="C199" s="13" t="s">
        <v>606</v>
      </c>
      <c r="D199" s="14" t="s">
        <v>607</v>
      </c>
      <c r="E199" s="13" t="s">
        <v>51</v>
      </c>
      <c r="F199" s="15" t="s">
        <v>9</v>
      </c>
      <c r="G199" s="14" t="s">
        <v>601</v>
      </c>
    </row>
    <row r="200" customFormat="false" ht="15" hidden="false" customHeight="false" outlineLevel="0" collapsed="false">
      <c r="A200" s="13" t="n">
        <v>199</v>
      </c>
      <c r="B200" s="13" t="s">
        <v>598</v>
      </c>
      <c r="C200" s="13" t="s">
        <v>608</v>
      </c>
      <c r="D200" s="14"/>
      <c r="E200" s="13" t="s">
        <v>51</v>
      </c>
      <c r="F200" s="15" t="s">
        <v>9</v>
      </c>
      <c r="G200" s="14" t="s">
        <v>609</v>
      </c>
    </row>
    <row r="201" customFormat="false" ht="15" hidden="false" customHeight="false" outlineLevel="0" collapsed="false">
      <c r="A201" s="13" t="n">
        <v>200</v>
      </c>
      <c r="B201" s="13" t="s">
        <v>598</v>
      </c>
      <c r="C201" s="13" t="s">
        <v>610</v>
      </c>
      <c r="D201" s="14"/>
      <c r="E201" s="13" t="s">
        <v>51</v>
      </c>
      <c r="F201" s="15" t="s">
        <v>9</v>
      </c>
      <c r="G201" s="14" t="s">
        <v>609</v>
      </c>
    </row>
    <row r="202" customFormat="false" ht="15" hidden="false" customHeight="false" outlineLevel="0" collapsed="false">
      <c r="A202" s="13" t="n">
        <v>201</v>
      </c>
      <c r="B202" s="13" t="s">
        <v>598</v>
      </c>
      <c r="C202" s="13" t="s">
        <v>611</v>
      </c>
      <c r="D202" s="14"/>
      <c r="E202" s="13" t="s">
        <v>51</v>
      </c>
      <c r="F202" s="15" t="s">
        <v>9</v>
      </c>
      <c r="G202" s="14" t="s">
        <v>609</v>
      </c>
    </row>
    <row r="203" customFormat="false" ht="15" hidden="false" customHeight="false" outlineLevel="0" collapsed="false">
      <c r="A203" s="13" t="n">
        <v>202</v>
      </c>
      <c r="B203" s="13" t="s">
        <v>612</v>
      </c>
      <c r="C203" s="13" t="s">
        <v>613</v>
      </c>
      <c r="D203" s="14" t="s">
        <v>614</v>
      </c>
      <c r="E203" s="13" t="s">
        <v>51</v>
      </c>
      <c r="F203" s="15" t="s">
        <v>9</v>
      </c>
      <c r="G203" s="14" t="s">
        <v>615</v>
      </c>
    </row>
    <row r="204" customFormat="false" ht="23.85" hidden="false" customHeight="false" outlineLevel="0" collapsed="false">
      <c r="A204" s="13" t="n">
        <v>203</v>
      </c>
      <c r="B204" s="13" t="s">
        <v>612</v>
      </c>
      <c r="C204" s="13" t="s">
        <v>616</v>
      </c>
      <c r="D204" s="14" t="s">
        <v>617</v>
      </c>
      <c r="E204" s="13" t="s">
        <v>51</v>
      </c>
      <c r="F204" s="15" t="s">
        <v>9</v>
      </c>
      <c r="G204" s="14" t="s">
        <v>615</v>
      </c>
    </row>
    <row r="205" customFormat="false" ht="23.85" hidden="false" customHeight="false" outlineLevel="0" collapsed="false">
      <c r="A205" s="13" t="n">
        <v>204</v>
      </c>
      <c r="B205" s="13" t="s">
        <v>612</v>
      </c>
      <c r="C205" s="13" t="s">
        <v>618</v>
      </c>
      <c r="D205" s="14" t="s">
        <v>619</v>
      </c>
      <c r="E205" s="13" t="s">
        <v>51</v>
      </c>
      <c r="F205" s="15" t="s">
        <v>9</v>
      </c>
      <c r="G205" s="14" t="s">
        <v>615</v>
      </c>
    </row>
    <row r="206" customFormat="false" ht="23.85" hidden="false" customHeight="false" outlineLevel="0" collapsed="false">
      <c r="A206" s="13" t="n">
        <v>205</v>
      </c>
      <c r="B206" s="13" t="s">
        <v>612</v>
      </c>
      <c r="C206" s="13" t="s">
        <v>620</v>
      </c>
      <c r="D206" s="14" t="s">
        <v>621</v>
      </c>
      <c r="E206" s="13" t="s">
        <v>51</v>
      </c>
      <c r="F206" s="15" t="s">
        <v>9</v>
      </c>
      <c r="G206" s="14" t="s">
        <v>615</v>
      </c>
    </row>
    <row r="207" customFormat="false" ht="23.85" hidden="false" customHeight="false" outlineLevel="0" collapsed="false">
      <c r="A207" s="13" t="n">
        <v>206</v>
      </c>
      <c r="B207" s="13" t="s">
        <v>622</v>
      </c>
      <c r="C207" s="13" t="s">
        <v>623</v>
      </c>
      <c r="D207" s="14" t="s">
        <v>624</v>
      </c>
      <c r="E207" s="13" t="s">
        <v>51</v>
      </c>
      <c r="F207" s="15" t="s">
        <v>9</v>
      </c>
      <c r="G207" s="14" t="s">
        <v>625</v>
      </c>
    </row>
    <row r="208" customFormat="false" ht="23.85" hidden="false" customHeight="false" outlineLevel="0" collapsed="false">
      <c r="A208" s="13" t="n">
        <v>207</v>
      </c>
      <c r="B208" s="13" t="s">
        <v>622</v>
      </c>
      <c r="C208" s="13" t="s">
        <v>626</v>
      </c>
      <c r="D208" s="14" t="s">
        <v>627</v>
      </c>
      <c r="E208" s="13" t="s">
        <v>51</v>
      </c>
      <c r="F208" s="15" t="s">
        <v>9</v>
      </c>
      <c r="G208" s="14" t="s">
        <v>625</v>
      </c>
    </row>
    <row r="209" customFormat="false" ht="23.85" hidden="false" customHeight="false" outlineLevel="0" collapsed="false">
      <c r="A209" s="13" t="n">
        <v>208</v>
      </c>
      <c r="B209" s="13" t="s">
        <v>622</v>
      </c>
      <c r="C209" s="13" t="s">
        <v>628</v>
      </c>
      <c r="D209" s="14" t="s">
        <v>629</v>
      </c>
      <c r="E209" s="13" t="s">
        <v>51</v>
      </c>
      <c r="F209" s="15" t="s">
        <v>9</v>
      </c>
      <c r="G209" s="14" t="s">
        <v>625</v>
      </c>
    </row>
    <row r="210" customFormat="false" ht="15" hidden="false" customHeight="false" outlineLevel="0" collapsed="false">
      <c r="A210" s="13" t="n">
        <v>209</v>
      </c>
      <c r="B210" s="13" t="s">
        <v>622</v>
      </c>
      <c r="C210" s="13" t="s">
        <v>630</v>
      </c>
      <c r="D210" s="14" t="s">
        <v>631</v>
      </c>
      <c r="E210" s="13" t="s">
        <v>77</v>
      </c>
      <c r="F210" s="15" t="s">
        <v>9</v>
      </c>
      <c r="G210" s="14" t="s">
        <v>625</v>
      </c>
    </row>
    <row r="211" customFormat="false" ht="15" hidden="false" customHeight="false" outlineLevel="0" collapsed="false">
      <c r="A211" s="13" t="n">
        <v>210</v>
      </c>
      <c r="B211" s="13" t="s">
        <v>632</v>
      </c>
      <c r="C211" s="13" t="s">
        <v>633</v>
      </c>
      <c r="D211" s="14" t="s">
        <v>634</v>
      </c>
      <c r="E211" s="13" t="s">
        <v>51</v>
      </c>
      <c r="F211" s="15" t="s">
        <v>9</v>
      </c>
      <c r="G211" s="14" t="s">
        <v>635</v>
      </c>
    </row>
    <row r="212" customFormat="false" ht="15" hidden="false" customHeight="false" outlineLevel="0" collapsed="false">
      <c r="A212" s="13" t="n">
        <v>211</v>
      </c>
      <c r="B212" s="13" t="s">
        <v>632</v>
      </c>
      <c r="C212" s="13" t="s">
        <v>636</v>
      </c>
      <c r="D212" s="14" t="s">
        <v>637</v>
      </c>
      <c r="E212" s="13" t="s">
        <v>51</v>
      </c>
      <c r="F212" s="15" t="s">
        <v>9</v>
      </c>
      <c r="G212" s="14" t="s">
        <v>635</v>
      </c>
    </row>
    <row r="213" customFormat="false" ht="15" hidden="false" customHeight="false" outlineLevel="0" collapsed="false">
      <c r="A213" s="13" t="n">
        <v>212</v>
      </c>
      <c r="B213" s="13" t="s">
        <v>632</v>
      </c>
      <c r="C213" s="13" t="s">
        <v>638</v>
      </c>
      <c r="D213" s="14" t="s">
        <v>639</v>
      </c>
      <c r="E213" s="13" t="s">
        <v>51</v>
      </c>
      <c r="F213" s="15" t="s">
        <v>9</v>
      </c>
      <c r="G213" s="14" t="s">
        <v>640</v>
      </c>
    </row>
    <row r="214" customFormat="false" ht="23.85" hidden="false" customHeight="false" outlineLevel="0" collapsed="false">
      <c r="A214" s="13" t="n">
        <v>213</v>
      </c>
      <c r="B214" s="13" t="s">
        <v>632</v>
      </c>
      <c r="C214" s="13" t="s">
        <v>641</v>
      </c>
      <c r="D214" s="14" t="s">
        <v>642</v>
      </c>
      <c r="E214" s="13" t="s">
        <v>51</v>
      </c>
      <c r="F214" s="15" t="s">
        <v>9</v>
      </c>
      <c r="G214" s="14" t="s">
        <v>643</v>
      </c>
    </row>
    <row r="215" customFormat="false" ht="23.85" hidden="false" customHeight="false" outlineLevel="0" collapsed="false">
      <c r="A215" s="13" t="n">
        <v>214</v>
      </c>
      <c r="B215" s="13" t="s">
        <v>632</v>
      </c>
      <c r="C215" s="13" t="s">
        <v>644</v>
      </c>
      <c r="D215" s="14" t="s">
        <v>645</v>
      </c>
      <c r="E215" s="13" t="s">
        <v>51</v>
      </c>
      <c r="F215" s="15" t="s">
        <v>9</v>
      </c>
      <c r="G215" s="14" t="s">
        <v>646</v>
      </c>
    </row>
    <row r="216" customFormat="false" ht="23.85" hidden="false" customHeight="false" outlineLevel="0" collapsed="false">
      <c r="A216" s="13" t="n">
        <v>215</v>
      </c>
      <c r="B216" s="13" t="s">
        <v>632</v>
      </c>
      <c r="C216" s="13" t="s">
        <v>647</v>
      </c>
      <c r="D216" s="14" t="s">
        <v>648</v>
      </c>
      <c r="E216" s="13" t="s">
        <v>51</v>
      </c>
      <c r="F216" s="15" t="s">
        <v>9</v>
      </c>
      <c r="G216" s="14" t="s">
        <v>649</v>
      </c>
    </row>
    <row r="217" customFormat="false" ht="15" hidden="false" customHeight="false" outlineLevel="0" collapsed="false">
      <c r="A217" s="13" t="n">
        <v>216</v>
      </c>
      <c r="B217" s="13" t="s">
        <v>632</v>
      </c>
      <c r="C217" s="13" t="s">
        <v>650</v>
      </c>
      <c r="D217" s="14" t="s">
        <v>651</v>
      </c>
      <c r="E217" s="13" t="s">
        <v>51</v>
      </c>
      <c r="F217" s="15" t="s">
        <v>9</v>
      </c>
      <c r="G217" s="14" t="s">
        <v>652</v>
      </c>
    </row>
    <row r="218" customFormat="false" ht="15" hidden="false" customHeight="false" outlineLevel="0" collapsed="false">
      <c r="A218" s="13" t="n">
        <v>217</v>
      </c>
      <c r="B218" s="13" t="s">
        <v>653</v>
      </c>
      <c r="C218" s="13" t="s">
        <v>654</v>
      </c>
      <c r="D218" s="14" t="s">
        <v>655</v>
      </c>
      <c r="E218" s="13" t="s">
        <v>51</v>
      </c>
      <c r="F218" s="15" t="s">
        <v>9</v>
      </c>
      <c r="G218" s="14" t="s">
        <v>656</v>
      </c>
    </row>
    <row r="219" customFormat="false" ht="35.05" hidden="false" customHeight="false" outlineLevel="0" collapsed="false">
      <c r="A219" s="13" t="n">
        <v>218</v>
      </c>
      <c r="B219" s="13" t="s">
        <v>653</v>
      </c>
      <c r="C219" s="13" t="s">
        <v>657</v>
      </c>
      <c r="D219" s="14" t="s">
        <v>82</v>
      </c>
      <c r="E219" s="13" t="s">
        <v>51</v>
      </c>
      <c r="F219" s="15" t="s">
        <v>9</v>
      </c>
      <c r="G219" s="14" t="s">
        <v>658</v>
      </c>
    </row>
    <row r="220" customFormat="false" ht="15" hidden="false" customHeight="false" outlineLevel="0" collapsed="false">
      <c r="A220" s="13" t="n">
        <v>219</v>
      </c>
      <c r="B220" s="13" t="s">
        <v>653</v>
      </c>
      <c r="C220" s="13" t="s">
        <v>659</v>
      </c>
      <c r="D220" s="14" t="s">
        <v>660</v>
      </c>
      <c r="E220" s="13" t="s">
        <v>51</v>
      </c>
      <c r="F220" s="15" t="s">
        <v>9</v>
      </c>
      <c r="G220" s="14" t="s">
        <v>661</v>
      </c>
    </row>
    <row r="221" customFormat="false" ht="23.85" hidden="false" customHeight="false" outlineLevel="0" collapsed="false">
      <c r="A221" s="13" t="n">
        <v>220</v>
      </c>
      <c r="B221" s="13" t="s">
        <v>653</v>
      </c>
      <c r="C221" s="13" t="s">
        <v>662</v>
      </c>
      <c r="D221" s="14" t="s">
        <v>663</v>
      </c>
      <c r="E221" s="13" t="s">
        <v>51</v>
      </c>
      <c r="F221" s="15" t="s">
        <v>9</v>
      </c>
      <c r="G221" s="14" t="s">
        <v>664</v>
      </c>
    </row>
    <row r="222" customFormat="false" ht="15" hidden="false" customHeight="false" outlineLevel="0" collapsed="false">
      <c r="A222" s="13" t="n">
        <v>221</v>
      </c>
      <c r="B222" s="13" t="s">
        <v>653</v>
      </c>
      <c r="C222" s="13" t="s">
        <v>665</v>
      </c>
      <c r="D222" s="14" t="s">
        <v>666</v>
      </c>
      <c r="E222" s="13" t="s">
        <v>51</v>
      </c>
      <c r="F222" s="15" t="s">
        <v>9</v>
      </c>
      <c r="G222" s="14" t="s">
        <v>667</v>
      </c>
    </row>
    <row r="223" customFormat="false" ht="35.05" hidden="false" customHeight="false" outlineLevel="0" collapsed="false">
      <c r="A223" s="13" t="n">
        <v>222</v>
      </c>
      <c r="B223" s="13" t="s">
        <v>653</v>
      </c>
      <c r="C223" s="13" t="s">
        <v>668</v>
      </c>
      <c r="D223" s="14" t="s">
        <v>669</v>
      </c>
      <c r="E223" s="13" t="s">
        <v>51</v>
      </c>
      <c r="F223" s="15" t="s">
        <v>9</v>
      </c>
      <c r="G223" s="14" t="s">
        <v>670</v>
      </c>
    </row>
    <row r="224" customFormat="false" ht="23.85" hidden="false" customHeight="false" outlineLevel="0" collapsed="false">
      <c r="A224" s="13" t="n">
        <v>223</v>
      </c>
      <c r="B224" s="13" t="s">
        <v>653</v>
      </c>
      <c r="C224" s="13" t="s">
        <v>671</v>
      </c>
      <c r="D224" s="14" t="s">
        <v>672</v>
      </c>
      <c r="E224" s="13" t="s">
        <v>51</v>
      </c>
      <c r="F224" s="15" t="s">
        <v>9</v>
      </c>
      <c r="G224" s="14" t="s">
        <v>673</v>
      </c>
    </row>
    <row r="225" customFormat="false" ht="35.05" hidden="false" customHeight="false" outlineLevel="0" collapsed="false">
      <c r="A225" s="13" t="n">
        <v>224</v>
      </c>
      <c r="B225" s="13" t="s">
        <v>653</v>
      </c>
      <c r="C225" s="13" t="s">
        <v>674</v>
      </c>
      <c r="D225" s="14" t="s">
        <v>675</v>
      </c>
      <c r="E225" s="13" t="s">
        <v>51</v>
      </c>
      <c r="F225" s="15" t="s">
        <v>9</v>
      </c>
      <c r="G225" s="14" t="s">
        <v>676</v>
      </c>
    </row>
    <row r="226" customFormat="false" ht="23.85" hidden="false" customHeight="false" outlineLevel="0" collapsed="false">
      <c r="A226" s="13" t="n">
        <v>225</v>
      </c>
      <c r="B226" s="13" t="s">
        <v>653</v>
      </c>
      <c r="C226" s="13" t="s">
        <v>677</v>
      </c>
      <c r="D226" s="14" t="s">
        <v>678</v>
      </c>
      <c r="E226" s="13" t="s">
        <v>51</v>
      </c>
      <c r="F226" s="15" t="s">
        <v>9</v>
      </c>
      <c r="G226" s="14" t="s">
        <v>679</v>
      </c>
    </row>
    <row r="227" customFormat="false" ht="15" hidden="false" customHeight="false" outlineLevel="0" collapsed="false">
      <c r="A227" s="13" t="n">
        <v>226</v>
      </c>
      <c r="B227" s="13" t="s">
        <v>653</v>
      </c>
      <c r="C227" s="13" t="s">
        <v>680</v>
      </c>
      <c r="D227" s="14" t="s">
        <v>681</v>
      </c>
      <c r="E227" s="13" t="s">
        <v>51</v>
      </c>
      <c r="F227" s="15" t="s">
        <v>9</v>
      </c>
      <c r="G227" s="14" t="s">
        <v>656</v>
      </c>
    </row>
    <row r="228" customFormat="false" ht="15" hidden="false" customHeight="false" outlineLevel="0" collapsed="false">
      <c r="A228" s="13" t="n">
        <v>227</v>
      </c>
      <c r="B228" s="13" t="s">
        <v>653</v>
      </c>
      <c r="C228" s="13" t="s">
        <v>682</v>
      </c>
      <c r="D228" s="14" t="s">
        <v>683</v>
      </c>
      <c r="E228" s="13" t="s">
        <v>51</v>
      </c>
      <c r="F228" s="15" t="s">
        <v>9</v>
      </c>
      <c r="G228" s="14" t="s">
        <v>656</v>
      </c>
    </row>
    <row r="229" customFormat="false" ht="15" hidden="false" customHeight="false" outlineLevel="0" collapsed="false">
      <c r="A229" s="13" t="n">
        <v>228</v>
      </c>
      <c r="B229" s="13" t="s">
        <v>653</v>
      </c>
      <c r="C229" s="13" t="s">
        <v>684</v>
      </c>
      <c r="D229" s="14" t="s">
        <v>685</v>
      </c>
      <c r="E229" s="13" t="s">
        <v>51</v>
      </c>
      <c r="F229" s="15" t="s">
        <v>9</v>
      </c>
      <c r="G229" s="14" t="s">
        <v>656</v>
      </c>
    </row>
    <row r="230" customFormat="false" ht="23.85" hidden="false" customHeight="false" outlineLevel="0" collapsed="false">
      <c r="A230" s="13" t="n">
        <v>229</v>
      </c>
      <c r="B230" s="13" t="s">
        <v>653</v>
      </c>
      <c r="C230" s="13" t="s">
        <v>686</v>
      </c>
      <c r="D230" s="14" t="s">
        <v>687</v>
      </c>
      <c r="E230" s="13" t="s">
        <v>77</v>
      </c>
      <c r="F230" s="15" t="s">
        <v>9</v>
      </c>
      <c r="G230" s="14" t="s">
        <v>688</v>
      </c>
    </row>
    <row r="231" customFormat="false" ht="23.85" hidden="false" customHeight="false" outlineLevel="0" collapsed="false">
      <c r="A231" s="13" t="n">
        <v>230</v>
      </c>
      <c r="B231" s="13" t="s">
        <v>653</v>
      </c>
      <c r="C231" s="13" t="s">
        <v>689</v>
      </c>
      <c r="D231" s="14" t="s">
        <v>690</v>
      </c>
      <c r="E231" s="13" t="s">
        <v>77</v>
      </c>
      <c r="F231" s="15" t="s">
        <v>9</v>
      </c>
      <c r="G231" s="14" t="s">
        <v>688</v>
      </c>
    </row>
    <row r="232" customFormat="false" ht="35.05" hidden="false" customHeight="false" outlineLevel="0" collapsed="false">
      <c r="A232" s="13" t="n">
        <v>231</v>
      </c>
      <c r="B232" s="13" t="s">
        <v>653</v>
      </c>
      <c r="C232" s="13" t="s">
        <v>691</v>
      </c>
      <c r="D232" s="14" t="s">
        <v>692</v>
      </c>
      <c r="E232" s="13" t="s">
        <v>51</v>
      </c>
      <c r="F232" s="15" t="s">
        <v>9</v>
      </c>
      <c r="G232" s="14" t="s">
        <v>693</v>
      </c>
    </row>
    <row r="233" customFormat="false" ht="15" hidden="false" customHeight="false" outlineLevel="0" collapsed="false">
      <c r="A233" s="13" t="n">
        <v>232</v>
      </c>
      <c r="B233" s="13" t="s">
        <v>653</v>
      </c>
      <c r="C233" s="13" t="s">
        <v>694</v>
      </c>
      <c r="D233" s="14" t="s">
        <v>695</v>
      </c>
      <c r="E233" s="13" t="s">
        <v>77</v>
      </c>
      <c r="F233" s="15" t="s">
        <v>9</v>
      </c>
      <c r="G233" s="14" t="s">
        <v>696</v>
      </c>
    </row>
    <row r="234" customFormat="false" ht="15" hidden="false" customHeight="false" outlineLevel="0" collapsed="false">
      <c r="A234" s="13" t="n">
        <v>233</v>
      </c>
      <c r="B234" s="13" t="s">
        <v>653</v>
      </c>
      <c r="C234" s="13" t="s">
        <v>697</v>
      </c>
      <c r="D234" s="14" t="s">
        <v>698</v>
      </c>
      <c r="E234" s="13" t="s">
        <v>77</v>
      </c>
      <c r="F234" s="15" t="s">
        <v>9</v>
      </c>
      <c r="G234" s="14" t="s">
        <v>661</v>
      </c>
    </row>
    <row r="235" customFormat="false" ht="15" hidden="false" customHeight="false" outlineLevel="0" collapsed="false">
      <c r="A235" s="13" t="n">
        <v>234</v>
      </c>
      <c r="B235" s="13" t="s">
        <v>653</v>
      </c>
      <c r="C235" s="13" t="s">
        <v>699</v>
      </c>
      <c r="D235" s="14" t="s">
        <v>700</v>
      </c>
      <c r="E235" s="13" t="s">
        <v>108</v>
      </c>
      <c r="F235" s="15" t="s">
        <v>9</v>
      </c>
      <c r="G235" s="14" t="s">
        <v>661</v>
      </c>
    </row>
    <row r="236" customFormat="false" ht="15" hidden="false" customHeight="false" outlineLevel="0" collapsed="false">
      <c r="A236" s="13" t="n">
        <v>235</v>
      </c>
      <c r="B236" s="13" t="s">
        <v>653</v>
      </c>
      <c r="C236" s="13" t="s">
        <v>701</v>
      </c>
      <c r="D236" s="14" t="s">
        <v>702</v>
      </c>
      <c r="E236" s="13" t="s">
        <v>108</v>
      </c>
      <c r="F236" s="15" t="s">
        <v>9</v>
      </c>
      <c r="G236" s="14" t="s">
        <v>661</v>
      </c>
    </row>
    <row r="237" customFormat="false" ht="15" hidden="false" customHeight="false" outlineLevel="0" collapsed="false">
      <c r="A237" s="13" t="n">
        <v>236</v>
      </c>
      <c r="B237" s="13" t="s">
        <v>703</v>
      </c>
      <c r="C237" s="13" t="s">
        <v>704</v>
      </c>
      <c r="D237" s="14" t="s">
        <v>705</v>
      </c>
      <c r="E237" s="13" t="s">
        <v>51</v>
      </c>
      <c r="F237" s="15" t="s">
        <v>9</v>
      </c>
      <c r="G237" s="14" t="s">
        <v>706</v>
      </c>
    </row>
    <row r="238" customFormat="false" ht="15" hidden="false" customHeight="false" outlineLevel="0" collapsed="false">
      <c r="A238" s="13" t="n">
        <v>237</v>
      </c>
      <c r="B238" s="13" t="s">
        <v>703</v>
      </c>
      <c r="C238" s="13" t="s">
        <v>707</v>
      </c>
      <c r="D238" s="14" t="s">
        <v>708</v>
      </c>
      <c r="E238" s="13" t="s">
        <v>51</v>
      </c>
      <c r="F238" s="15" t="s">
        <v>9</v>
      </c>
      <c r="G238" s="14" t="s">
        <v>706</v>
      </c>
    </row>
    <row r="239" customFormat="false" ht="15" hidden="false" customHeight="false" outlineLevel="0" collapsed="false">
      <c r="A239" s="13" t="n">
        <v>238</v>
      </c>
      <c r="B239" s="13" t="s">
        <v>703</v>
      </c>
      <c r="C239" s="13" t="s">
        <v>709</v>
      </c>
      <c r="D239" s="14" t="s">
        <v>111</v>
      </c>
      <c r="E239" s="13" t="s">
        <v>51</v>
      </c>
      <c r="F239" s="15" t="s">
        <v>9</v>
      </c>
      <c r="G239" s="14" t="s">
        <v>706</v>
      </c>
    </row>
    <row r="240" customFormat="false" ht="15" hidden="false" customHeight="false" outlineLevel="0" collapsed="false">
      <c r="A240" s="13" t="n">
        <v>239</v>
      </c>
      <c r="B240" s="13" t="s">
        <v>703</v>
      </c>
      <c r="C240" s="13" t="s">
        <v>710</v>
      </c>
      <c r="D240" s="14" t="s">
        <v>711</v>
      </c>
      <c r="E240" s="13" t="s">
        <v>51</v>
      </c>
      <c r="F240" s="15" t="s">
        <v>9</v>
      </c>
      <c r="G240" s="14" t="s">
        <v>712</v>
      </c>
    </row>
    <row r="241" customFormat="false" ht="57.45" hidden="false" customHeight="false" outlineLevel="0" collapsed="false">
      <c r="A241" s="13" t="n">
        <v>240</v>
      </c>
      <c r="B241" s="13" t="s">
        <v>703</v>
      </c>
      <c r="C241" s="13" t="s">
        <v>713</v>
      </c>
      <c r="D241" s="14" t="s">
        <v>714</v>
      </c>
      <c r="E241" s="13" t="s">
        <v>51</v>
      </c>
      <c r="F241" s="15" t="s">
        <v>9</v>
      </c>
      <c r="G241" s="14" t="s">
        <v>715</v>
      </c>
    </row>
    <row r="242" customFormat="false" ht="46.25" hidden="false" customHeight="false" outlineLevel="0" collapsed="false">
      <c r="A242" s="13" t="n">
        <v>241</v>
      </c>
      <c r="B242" s="13" t="s">
        <v>703</v>
      </c>
      <c r="C242" s="13" t="s">
        <v>716</v>
      </c>
      <c r="D242" s="14" t="s">
        <v>717</v>
      </c>
      <c r="E242" s="13" t="s">
        <v>51</v>
      </c>
      <c r="F242" s="15" t="s">
        <v>9</v>
      </c>
      <c r="G242" s="14" t="s">
        <v>718</v>
      </c>
    </row>
    <row r="243" customFormat="false" ht="35.05" hidden="false" customHeight="false" outlineLevel="0" collapsed="false">
      <c r="A243" s="13" t="n">
        <v>242</v>
      </c>
      <c r="B243" s="13" t="s">
        <v>703</v>
      </c>
      <c r="C243" s="13" t="s">
        <v>719</v>
      </c>
      <c r="D243" s="14" t="s">
        <v>720</v>
      </c>
      <c r="E243" s="13" t="s">
        <v>51</v>
      </c>
      <c r="F243" s="15" t="s">
        <v>9</v>
      </c>
      <c r="G243" s="14" t="s">
        <v>721</v>
      </c>
    </row>
    <row r="244" customFormat="false" ht="46.25" hidden="false" customHeight="false" outlineLevel="0" collapsed="false">
      <c r="A244" s="13" t="n">
        <v>243</v>
      </c>
      <c r="B244" s="13" t="s">
        <v>703</v>
      </c>
      <c r="C244" s="13" t="s">
        <v>722</v>
      </c>
      <c r="D244" s="14" t="s">
        <v>723</v>
      </c>
      <c r="E244" s="13" t="s">
        <v>77</v>
      </c>
      <c r="F244" s="15" t="s">
        <v>9</v>
      </c>
      <c r="G244" s="14" t="s">
        <v>724</v>
      </c>
    </row>
    <row r="245" customFormat="false" ht="23.85" hidden="false" customHeight="false" outlineLevel="0" collapsed="false">
      <c r="A245" s="13" t="n">
        <v>244</v>
      </c>
      <c r="B245" s="13" t="s">
        <v>703</v>
      </c>
      <c r="C245" s="13" t="s">
        <v>725</v>
      </c>
      <c r="D245" s="14" t="s">
        <v>726</v>
      </c>
      <c r="E245" s="13" t="s">
        <v>77</v>
      </c>
      <c r="F245" s="15" t="s">
        <v>9</v>
      </c>
      <c r="G245" s="14" t="s">
        <v>727</v>
      </c>
    </row>
    <row r="246" customFormat="false" ht="23.85" hidden="false" customHeight="false" outlineLevel="0" collapsed="false">
      <c r="A246" s="13" t="n">
        <v>245</v>
      </c>
      <c r="B246" s="13" t="s">
        <v>703</v>
      </c>
      <c r="C246" s="13" t="s">
        <v>728</v>
      </c>
      <c r="D246" s="14" t="s">
        <v>729</v>
      </c>
      <c r="E246" s="13" t="s">
        <v>77</v>
      </c>
      <c r="F246" s="15" t="s">
        <v>9</v>
      </c>
      <c r="G246" s="14" t="s">
        <v>730</v>
      </c>
    </row>
    <row r="247" customFormat="false" ht="23.85" hidden="false" customHeight="false" outlineLevel="0" collapsed="false">
      <c r="A247" s="13" t="n">
        <v>246</v>
      </c>
      <c r="B247" s="13" t="s">
        <v>731</v>
      </c>
      <c r="C247" s="13" t="s">
        <v>732</v>
      </c>
      <c r="D247" s="14" t="s">
        <v>733</v>
      </c>
      <c r="E247" s="13" t="s">
        <v>51</v>
      </c>
      <c r="F247" s="15" t="s">
        <v>9</v>
      </c>
      <c r="G247" s="14" t="s">
        <v>734</v>
      </c>
    </row>
    <row r="248" customFormat="false" ht="23.85" hidden="false" customHeight="false" outlineLevel="0" collapsed="false">
      <c r="A248" s="13" t="n">
        <v>247</v>
      </c>
      <c r="B248" s="13" t="s">
        <v>731</v>
      </c>
      <c r="C248" s="13" t="s">
        <v>735</v>
      </c>
      <c r="D248" s="14" t="s">
        <v>736</v>
      </c>
      <c r="E248" s="13" t="s">
        <v>51</v>
      </c>
      <c r="F248" s="15" t="s">
        <v>9</v>
      </c>
      <c r="G248" s="14" t="s">
        <v>737</v>
      </c>
    </row>
    <row r="249" customFormat="false" ht="23.85" hidden="false" customHeight="false" outlineLevel="0" collapsed="false">
      <c r="A249" s="13" t="n">
        <v>248</v>
      </c>
      <c r="B249" s="13" t="s">
        <v>731</v>
      </c>
      <c r="C249" s="13" t="s">
        <v>738</v>
      </c>
      <c r="D249" s="14" t="s">
        <v>739</v>
      </c>
      <c r="E249" s="13" t="s">
        <v>51</v>
      </c>
      <c r="F249" s="15" t="s">
        <v>9</v>
      </c>
      <c r="G249" s="14" t="s">
        <v>740</v>
      </c>
    </row>
    <row r="250" customFormat="false" ht="23.85" hidden="false" customHeight="false" outlineLevel="0" collapsed="false">
      <c r="A250" s="13" t="n">
        <v>249</v>
      </c>
      <c r="B250" s="13" t="s">
        <v>731</v>
      </c>
      <c r="C250" s="13" t="s">
        <v>741</v>
      </c>
      <c r="D250" s="14" t="s">
        <v>742</v>
      </c>
      <c r="E250" s="13" t="s">
        <v>51</v>
      </c>
      <c r="F250" s="15" t="s">
        <v>9</v>
      </c>
      <c r="G250" s="14" t="s">
        <v>743</v>
      </c>
    </row>
    <row r="251" customFormat="false" ht="23.85" hidden="false" customHeight="false" outlineLevel="0" collapsed="false">
      <c r="A251" s="13" t="n">
        <v>250</v>
      </c>
      <c r="B251" s="13" t="s">
        <v>731</v>
      </c>
      <c r="C251" s="13" t="s">
        <v>744</v>
      </c>
      <c r="D251" s="14" t="s">
        <v>745</v>
      </c>
      <c r="E251" s="13" t="s">
        <v>51</v>
      </c>
      <c r="F251" s="15" t="s">
        <v>9</v>
      </c>
      <c r="G251" s="14" t="s">
        <v>746</v>
      </c>
    </row>
    <row r="252" customFormat="false" ht="35.05" hidden="false" customHeight="false" outlineLevel="0" collapsed="false">
      <c r="A252" s="13" t="n">
        <v>251</v>
      </c>
      <c r="B252" s="13" t="s">
        <v>731</v>
      </c>
      <c r="C252" s="13" t="s">
        <v>747</v>
      </c>
      <c r="D252" s="14" t="s">
        <v>748</v>
      </c>
      <c r="E252" s="13" t="s">
        <v>51</v>
      </c>
      <c r="F252" s="15" t="s">
        <v>9</v>
      </c>
      <c r="G252" s="14" t="s">
        <v>749</v>
      </c>
    </row>
    <row r="253" customFormat="false" ht="23.85" hidden="false" customHeight="false" outlineLevel="0" collapsed="false">
      <c r="A253" s="13" t="n">
        <v>252</v>
      </c>
      <c r="B253" s="13" t="s">
        <v>731</v>
      </c>
      <c r="C253" s="13" t="s">
        <v>750</v>
      </c>
      <c r="D253" s="14" t="s">
        <v>751</v>
      </c>
      <c r="E253" s="13" t="s">
        <v>77</v>
      </c>
      <c r="F253" s="15" t="s">
        <v>9</v>
      </c>
      <c r="G253" s="14" t="s">
        <v>752</v>
      </c>
    </row>
    <row r="254" customFormat="false" ht="23.85" hidden="false" customHeight="false" outlineLevel="0" collapsed="false">
      <c r="A254" s="13" t="n">
        <v>253</v>
      </c>
      <c r="B254" s="13" t="s">
        <v>731</v>
      </c>
      <c r="C254" s="13" t="s">
        <v>753</v>
      </c>
      <c r="D254" s="14" t="s">
        <v>754</v>
      </c>
      <c r="E254" s="13" t="s">
        <v>77</v>
      </c>
      <c r="F254" s="15" t="s">
        <v>9</v>
      </c>
      <c r="G254" s="14" t="s">
        <v>755</v>
      </c>
    </row>
    <row r="255" customFormat="false" ht="23.85" hidden="false" customHeight="false" outlineLevel="0" collapsed="false">
      <c r="A255" s="13" t="n">
        <v>254</v>
      </c>
      <c r="B255" s="13" t="s">
        <v>731</v>
      </c>
      <c r="C255" s="13" t="s">
        <v>756</v>
      </c>
      <c r="D255" s="14" t="s">
        <v>757</v>
      </c>
      <c r="E255" s="13" t="s">
        <v>77</v>
      </c>
      <c r="F255" s="15" t="s">
        <v>9</v>
      </c>
      <c r="G255" s="14" t="s">
        <v>737</v>
      </c>
    </row>
    <row r="256" customFormat="false" ht="23.85" hidden="false" customHeight="false" outlineLevel="0" collapsed="false">
      <c r="A256" s="13" t="n">
        <v>255</v>
      </c>
      <c r="B256" s="13" t="s">
        <v>731</v>
      </c>
      <c r="C256" s="13" t="s">
        <v>758</v>
      </c>
      <c r="D256" s="14" t="s">
        <v>759</v>
      </c>
      <c r="E256" s="13" t="s">
        <v>51</v>
      </c>
      <c r="F256" s="15" t="s">
        <v>9</v>
      </c>
      <c r="G256" s="14" t="s">
        <v>737</v>
      </c>
    </row>
    <row r="257" customFormat="false" ht="23.85" hidden="false" customHeight="false" outlineLevel="0" collapsed="false">
      <c r="A257" s="13" t="n">
        <v>256</v>
      </c>
      <c r="B257" s="13" t="s">
        <v>760</v>
      </c>
      <c r="C257" s="13" t="s">
        <v>761</v>
      </c>
      <c r="D257" s="14" t="s">
        <v>762</v>
      </c>
      <c r="E257" s="13" t="s">
        <v>51</v>
      </c>
      <c r="F257" s="15" t="s">
        <v>9</v>
      </c>
      <c r="G257" s="14" t="s">
        <v>763</v>
      </c>
    </row>
    <row r="258" customFormat="false" ht="15" hidden="false" customHeight="false" outlineLevel="0" collapsed="false">
      <c r="A258" s="13" t="n">
        <v>257</v>
      </c>
      <c r="B258" s="13" t="s">
        <v>760</v>
      </c>
      <c r="C258" s="13" t="s">
        <v>764</v>
      </c>
      <c r="D258" s="14" t="s">
        <v>765</v>
      </c>
      <c r="E258" s="13" t="s">
        <v>51</v>
      </c>
      <c r="F258" s="15" t="s">
        <v>9</v>
      </c>
      <c r="G258" s="14" t="s">
        <v>766</v>
      </c>
    </row>
    <row r="259" customFormat="false" ht="15" hidden="false" customHeight="false" outlineLevel="0" collapsed="false">
      <c r="A259" s="13" t="n">
        <v>258</v>
      </c>
      <c r="B259" s="13" t="s">
        <v>760</v>
      </c>
      <c r="C259" s="13" t="s">
        <v>767</v>
      </c>
      <c r="D259" s="14" t="s">
        <v>768</v>
      </c>
      <c r="E259" s="13" t="s">
        <v>51</v>
      </c>
      <c r="F259" s="15" t="s">
        <v>9</v>
      </c>
      <c r="G259" s="14" t="s">
        <v>769</v>
      </c>
    </row>
    <row r="260" customFormat="false" ht="15" hidden="false" customHeight="false" outlineLevel="0" collapsed="false">
      <c r="A260" s="13" t="n">
        <v>259</v>
      </c>
      <c r="B260" s="13" t="s">
        <v>760</v>
      </c>
      <c r="C260" s="13" t="s">
        <v>770</v>
      </c>
      <c r="D260" s="14" t="s">
        <v>771</v>
      </c>
      <c r="E260" s="13" t="s">
        <v>51</v>
      </c>
      <c r="F260" s="15" t="s">
        <v>9</v>
      </c>
      <c r="G260" s="14" t="s">
        <v>769</v>
      </c>
    </row>
    <row r="261" customFormat="false" ht="15" hidden="false" customHeight="false" outlineLevel="0" collapsed="false">
      <c r="A261" s="13" t="n">
        <v>260</v>
      </c>
      <c r="B261" s="13" t="s">
        <v>760</v>
      </c>
      <c r="C261" s="13" t="s">
        <v>772</v>
      </c>
      <c r="D261" s="14" t="s">
        <v>186</v>
      </c>
      <c r="E261" s="13" t="s">
        <v>51</v>
      </c>
      <c r="F261" s="15" t="s">
        <v>9</v>
      </c>
      <c r="G261" s="14" t="s">
        <v>773</v>
      </c>
    </row>
    <row r="262" customFormat="false" ht="15" hidden="false" customHeight="false" outlineLevel="0" collapsed="false">
      <c r="A262" s="13" t="n">
        <v>261</v>
      </c>
      <c r="B262" s="13" t="s">
        <v>760</v>
      </c>
      <c r="C262" s="13" t="s">
        <v>774</v>
      </c>
      <c r="D262" s="14" t="s">
        <v>775</v>
      </c>
      <c r="E262" s="13" t="s">
        <v>51</v>
      </c>
      <c r="F262" s="15" t="s">
        <v>9</v>
      </c>
      <c r="G262" s="14" t="s">
        <v>776</v>
      </c>
    </row>
    <row r="263" customFormat="false" ht="15" hidden="false" customHeight="false" outlineLevel="0" collapsed="false">
      <c r="A263" s="13" t="n">
        <v>262</v>
      </c>
      <c r="B263" s="13" t="s">
        <v>760</v>
      </c>
      <c r="C263" s="13" t="s">
        <v>777</v>
      </c>
      <c r="D263" s="14" t="s">
        <v>778</v>
      </c>
      <c r="E263" s="13" t="s">
        <v>51</v>
      </c>
      <c r="F263" s="15" t="s">
        <v>9</v>
      </c>
      <c r="G263" s="14" t="s">
        <v>776</v>
      </c>
    </row>
    <row r="264" customFormat="false" ht="15" hidden="false" customHeight="false" outlineLevel="0" collapsed="false">
      <c r="A264" s="13" t="n">
        <v>263</v>
      </c>
      <c r="B264" s="13" t="s">
        <v>760</v>
      </c>
      <c r="C264" s="13" t="s">
        <v>779</v>
      </c>
      <c r="D264" s="14" t="s">
        <v>780</v>
      </c>
      <c r="E264" s="13" t="s">
        <v>51</v>
      </c>
      <c r="F264" s="15" t="s">
        <v>9</v>
      </c>
      <c r="G264" s="14" t="s">
        <v>776</v>
      </c>
    </row>
    <row r="265" customFormat="false" ht="15" hidden="false" customHeight="false" outlineLevel="0" collapsed="false">
      <c r="A265" s="13" t="n">
        <v>264</v>
      </c>
      <c r="B265" s="13" t="s">
        <v>760</v>
      </c>
      <c r="C265" s="13" t="s">
        <v>781</v>
      </c>
      <c r="D265" s="14" t="s">
        <v>782</v>
      </c>
      <c r="E265" s="13" t="s">
        <v>51</v>
      </c>
      <c r="F265" s="15" t="s">
        <v>9</v>
      </c>
      <c r="G265" s="14" t="s">
        <v>783</v>
      </c>
    </row>
    <row r="266" customFormat="false" ht="15" hidden="false" customHeight="false" outlineLevel="0" collapsed="false">
      <c r="A266" s="13" t="n">
        <v>265</v>
      </c>
      <c r="B266" s="13" t="s">
        <v>760</v>
      </c>
      <c r="C266" s="13" t="s">
        <v>784</v>
      </c>
      <c r="D266" s="14" t="s">
        <v>785</v>
      </c>
      <c r="E266" s="13" t="s">
        <v>77</v>
      </c>
      <c r="F266" s="15" t="s">
        <v>9</v>
      </c>
      <c r="G266" s="14" t="s">
        <v>786</v>
      </c>
    </row>
    <row r="267" customFormat="false" ht="15" hidden="false" customHeight="false" outlineLevel="0" collapsed="false">
      <c r="A267" s="13" t="n">
        <v>266</v>
      </c>
      <c r="B267" s="13" t="s">
        <v>760</v>
      </c>
      <c r="C267" s="13" t="s">
        <v>787</v>
      </c>
      <c r="D267" s="14" t="s">
        <v>788</v>
      </c>
      <c r="E267" s="13" t="s">
        <v>51</v>
      </c>
      <c r="F267" s="15" t="s">
        <v>9</v>
      </c>
      <c r="G267" s="14" t="s">
        <v>789</v>
      </c>
    </row>
    <row r="268" customFormat="false" ht="15" hidden="false" customHeight="false" outlineLevel="0" collapsed="false">
      <c r="A268" s="13" t="n">
        <v>267</v>
      </c>
      <c r="B268" s="13" t="s">
        <v>790</v>
      </c>
      <c r="C268" s="13" t="s">
        <v>791</v>
      </c>
      <c r="D268" s="14" t="s">
        <v>792</v>
      </c>
      <c r="E268" s="13" t="s">
        <v>51</v>
      </c>
      <c r="F268" s="15" t="s">
        <v>9</v>
      </c>
      <c r="G268" s="14" t="s">
        <v>793</v>
      </c>
    </row>
    <row r="269" customFormat="false" ht="15" hidden="false" customHeight="false" outlineLevel="0" collapsed="false">
      <c r="A269" s="13" t="n">
        <v>268</v>
      </c>
      <c r="B269" s="13" t="s">
        <v>790</v>
      </c>
      <c r="C269" s="13" t="s">
        <v>794</v>
      </c>
      <c r="D269" s="14" t="s">
        <v>795</v>
      </c>
      <c r="E269" s="13" t="s">
        <v>51</v>
      </c>
      <c r="F269" s="15" t="s">
        <v>9</v>
      </c>
      <c r="G269" s="14" t="s">
        <v>796</v>
      </c>
    </row>
    <row r="270" customFormat="false" ht="15" hidden="false" customHeight="false" outlineLevel="0" collapsed="false">
      <c r="A270" s="13" t="n">
        <v>269</v>
      </c>
      <c r="B270" s="13" t="s">
        <v>790</v>
      </c>
      <c r="C270" s="13" t="s">
        <v>797</v>
      </c>
      <c r="D270" s="14" t="s">
        <v>798</v>
      </c>
      <c r="E270" s="13" t="s">
        <v>51</v>
      </c>
      <c r="F270" s="15" t="s">
        <v>9</v>
      </c>
      <c r="G270" s="14" t="s">
        <v>796</v>
      </c>
    </row>
    <row r="271" customFormat="false" ht="15" hidden="false" customHeight="false" outlineLevel="0" collapsed="false">
      <c r="A271" s="13" t="n">
        <v>270</v>
      </c>
      <c r="B271" s="13" t="s">
        <v>790</v>
      </c>
      <c r="C271" s="13" t="s">
        <v>799</v>
      </c>
      <c r="D271" s="14" t="s">
        <v>800</v>
      </c>
      <c r="E271" s="13" t="s">
        <v>51</v>
      </c>
      <c r="F271" s="15" t="s">
        <v>9</v>
      </c>
      <c r="G271" s="14" t="s">
        <v>796</v>
      </c>
    </row>
    <row r="272" customFormat="false" ht="15" hidden="false" customHeight="false" outlineLevel="0" collapsed="false">
      <c r="A272" s="13" t="n">
        <v>271</v>
      </c>
      <c r="B272" s="13" t="s">
        <v>790</v>
      </c>
      <c r="C272" s="13" t="s">
        <v>801</v>
      </c>
      <c r="D272" s="14" t="s">
        <v>802</v>
      </c>
      <c r="E272" s="13" t="s">
        <v>51</v>
      </c>
      <c r="F272" s="15" t="s">
        <v>9</v>
      </c>
      <c r="G272" s="14" t="s">
        <v>635</v>
      </c>
    </row>
    <row r="273" customFormat="false" ht="15" hidden="false" customHeight="false" outlineLevel="0" collapsed="false">
      <c r="A273" s="13" t="n">
        <v>272</v>
      </c>
      <c r="B273" s="13" t="s">
        <v>790</v>
      </c>
      <c r="C273" s="13" t="s">
        <v>803</v>
      </c>
      <c r="D273" s="14" t="s">
        <v>804</v>
      </c>
      <c r="E273" s="13" t="s">
        <v>51</v>
      </c>
      <c r="F273" s="15" t="s">
        <v>9</v>
      </c>
      <c r="G273" s="14" t="s">
        <v>805</v>
      </c>
    </row>
    <row r="274" customFormat="false" ht="15" hidden="false" customHeight="false" outlineLevel="0" collapsed="false">
      <c r="A274" s="13" t="n">
        <v>273</v>
      </c>
      <c r="B274" s="13" t="s">
        <v>790</v>
      </c>
      <c r="C274" s="13" t="s">
        <v>806</v>
      </c>
      <c r="D274" s="14" t="s">
        <v>807</v>
      </c>
      <c r="E274" s="13" t="s">
        <v>51</v>
      </c>
      <c r="F274" s="15" t="s">
        <v>9</v>
      </c>
      <c r="G274" s="14" t="s">
        <v>805</v>
      </c>
    </row>
    <row r="275" customFormat="false" ht="15" hidden="false" customHeight="false" outlineLevel="0" collapsed="false">
      <c r="A275" s="13" t="n">
        <v>274</v>
      </c>
      <c r="B275" s="13" t="s">
        <v>790</v>
      </c>
      <c r="C275" s="13" t="s">
        <v>808</v>
      </c>
      <c r="D275" s="14" t="s">
        <v>809</v>
      </c>
      <c r="E275" s="13" t="s">
        <v>51</v>
      </c>
      <c r="F275" s="15" t="s">
        <v>9</v>
      </c>
      <c r="G275" s="14" t="s">
        <v>805</v>
      </c>
    </row>
    <row r="276" customFormat="false" ht="46.25" hidden="false" customHeight="false" outlineLevel="0" collapsed="false">
      <c r="A276" s="13" t="n">
        <v>275</v>
      </c>
      <c r="B276" s="13" t="s">
        <v>790</v>
      </c>
      <c r="C276" s="13" t="s">
        <v>810</v>
      </c>
      <c r="D276" s="14" t="s">
        <v>811</v>
      </c>
      <c r="E276" s="13" t="s">
        <v>77</v>
      </c>
      <c r="F276" s="15" t="s">
        <v>9</v>
      </c>
      <c r="G276" s="14" t="s">
        <v>812</v>
      </c>
    </row>
    <row r="277" customFormat="false" ht="15" hidden="false" customHeight="false" outlineLevel="0" collapsed="false">
      <c r="A277" s="13" t="n">
        <v>276</v>
      </c>
      <c r="B277" s="13" t="s">
        <v>813</v>
      </c>
      <c r="C277" s="13" t="s">
        <v>814</v>
      </c>
      <c r="D277" s="14" t="s">
        <v>815</v>
      </c>
      <c r="E277" s="13" t="s">
        <v>51</v>
      </c>
      <c r="F277" s="15" t="s">
        <v>9</v>
      </c>
      <c r="G277" s="14" t="s">
        <v>635</v>
      </c>
    </row>
    <row r="278" customFormat="false" ht="35.05" hidden="false" customHeight="false" outlineLevel="0" collapsed="false">
      <c r="A278" s="13" t="n">
        <v>277</v>
      </c>
      <c r="B278" s="13" t="s">
        <v>813</v>
      </c>
      <c r="C278" s="13" t="s">
        <v>816</v>
      </c>
      <c r="D278" s="14" t="s">
        <v>817</v>
      </c>
      <c r="E278" s="13" t="s">
        <v>51</v>
      </c>
      <c r="F278" s="15" t="s">
        <v>9</v>
      </c>
      <c r="G278" s="14" t="s">
        <v>818</v>
      </c>
    </row>
    <row r="279" customFormat="false" ht="23.85" hidden="false" customHeight="false" outlineLevel="0" collapsed="false">
      <c r="A279" s="13" t="n">
        <v>278</v>
      </c>
      <c r="B279" s="13" t="s">
        <v>813</v>
      </c>
      <c r="C279" s="13" t="s">
        <v>819</v>
      </c>
      <c r="D279" s="14" t="s">
        <v>820</v>
      </c>
      <c r="E279" s="13" t="s">
        <v>51</v>
      </c>
      <c r="F279" s="15" t="s">
        <v>9</v>
      </c>
      <c r="G279" s="14" t="s">
        <v>821</v>
      </c>
    </row>
    <row r="280" customFormat="false" ht="23.85" hidden="false" customHeight="false" outlineLevel="0" collapsed="false">
      <c r="A280" s="13" t="n">
        <v>279</v>
      </c>
      <c r="B280" s="13" t="s">
        <v>813</v>
      </c>
      <c r="C280" s="13" t="s">
        <v>822</v>
      </c>
      <c r="D280" s="14" t="s">
        <v>823</v>
      </c>
      <c r="E280" s="13" t="s">
        <v>51</v>
      </c>
      <c r="F280" s="15" t="s">
        <v>9</v>
      </c>
      <c r="G280" s="14" t="s">
        <v>824</v>
      </c>
    </row>
    <row r="281" customFormat="false" ht="15" hidden="false" customHeight="false" outlineLevel="0" collapsed="false">
      <c r="A281" s="13" t="n">
        <v>280</v>
      </c>
      <c r="B281" s="13" t="s">
        <v>825</v>
      </c>
      <c r="C281" s="13" t="s">
        <v>826</v>
      </c>
      <c r="D281" s="14" t="s">
        <v>827</v>
      </c>
      <c r="E281" s="13" t="s">
        <v>51</v>
      </c>
      <c r="F281" s="15" t="s">
        <v>9</v>
      </c>
      <c r="G281" s="14" t="s">
        <v>828</v>
      </c>
    </row>
    <row r="282" customFormat="false" ht="15" hidden="false" customHeight="false" outlineLevel="0" collapsed="false">
      <c r="A282" s="13" t="n">
        <v>281</v>
      </c>
      <c r="B282" s="13" t="s">
        <v>825</v>
      </c>
      <c r="C282" s="13" t="s">
        <v>829</v>
      </c>
      <c r="D282" s="14" t="s">
        <v>830</v>
      </c>
      <c r="E282" s="13" t="s">
        <v>51</v>
      </c>
      <c r="F282" s="15" t="s">
        <v>9</v>
      </c>
      <c r="G282" s="14" t="s">
        <v>828</v>
      </c>
    </row>
    <row r="283" customFormat="false" ht="35.05" hidden="false" customHeight="false" outlineLevel="0" collapsed="false">
      <c r="A283" s="13" t="n">
        <v>282</v>
      </c>
      <c r="B283" s="13" t="s">
        <v>825</v>
      </c>
      <c r="C283" s="13" t="s">
        <v>831</v>
      </c>
      <c r="D283" s="14" t="s">
        <v>832</v>
      </c>
      <c r="E283" s="13" t="s">
        <v>51</v>
      </c>
      <c r="F283" s="15" t="s">
        <v>9</v>
      </c>
      <c r="G283" s="14" t="s">
        <v>833</v>
      </c>
    </row>
    <row r="284" customFormat="false" ht="15" hidden="false" customHeight="false" outlineLevel="0" collapsed="false">
      <c r="A284" s="13" t="n">
        <v>283</v>
      </c>
      <c r="B284" s="13" t="s">
        <v>834</v>
      </c>
      <c r="C284" s="13" t="s">
        <v>835</v>
      </c>
      <c r="D284" s="14"/>
      <c r="E284" s="13" t="s">
        <v>836</v>
      </c>
      <c r="F284" s="15" t="s">
        <v>9</v>
      </c>
      <c r="G284" s="14"/>
    </row>
    <row r="285" customFormat="false" ht="23.85" hidden="false" customHeight="false" outlineLevel="0" collapsed="false">
      <c r="A285" s="13" t="n">
        <v>284</v>
      </c>
      <c r="B285" s="13" t="s">
        <v>834</v>
      </c>
      <c r="C285" s="13" t="s">
        <v>837</v>
      </c>
      <c r="D285" s="14" t="s">
        <v>838</v>
      </c>
      <c r="E285" s="13" t="s">
        <v>836</v>
      </c>
      <c r="F285" s="15" t="s">
        <v>9</v>
      </c>
      <c r="G285" s="14" t="s">
        <v>839</v>
      </c>
    </row>
    <row r="286" customFormat="false" ht="23.85" hidden="false" customHeight="false" outlineLevel="0" collapsed="false">
      <c r="A286" s="13" t="n">
        <v>285</v>
      </c>
      <c r="B286" s="13" t="s">
        <v>834</v>
      </c>
      <c r="C286" s="13" t="s">
        <v>840</v>
      </c>
      <c r="D286" s="14" t="s">
        <v>841</v>
      </c>
      <c r="E286" s="13" t="s">
        <v>836</v>
      </c>
      <c r="F286" s="15" t="s">
        <v>9</v>
      </c>
      <c r="G286" s="14" t="s">
        <v>842</v>
      </c>
    </row>
    <row r="287" customFormat="false" ht="46.25" hidden="false" customHeight="false" outlineLevel="0" collapsed="false">
      <c r="A287" s="13" t="n">
        <v>286</v>
      </c>
      <c r="B287" s="13" t="s">
        <v>834</v>
      </c>
      <c r="C287" s="13" t="s">
        <v>843</v>
      </c>
      <c r="D287" s="14" t="s">
        <v>844</v>
      </c>
      <c r="E287" s="13" t="s">
        <v>845</v>
      </c>
      <c r="F287" s="15" t="s">
        <v>9</v>
      </c>
      <c r="G287" s="14" t="s">
        <v>846</v>
      </c>
    </row>
    <row r="288" customFormat="false" ht="57.45" hidden="false" customHeight="false" outlineLevel="0" collapsed="false">
      <c r="A288" s="13" t="n">
        <v>287</v>
      </c>
      <c r="B288" s="13" t="s">
        <v>834</v>
      </c>
      <c r="C288" s="13" t="s">
        <v>847</v>
      </c>
      <c r="D288" s="14" t="s">
        <v>848</v>
      </c>
      <c r="E288" s="13" t="s">
        <v>845</v>
      </c>
      <c r="F288" s="15" t="s">
        <v>9</v>
      </c>
      <c r="G288" s="14" t="s">
        <v>849</v>
      </c>
    </row>
    <row r="289" customFormat="false" ht="15" hidden="false" customHeight="false" outlineLevel="0" collapsed="false">
      <c r="A289" s="13" t="n">
        <v>288</v>
      </c>
      <c r="B289" s="13" t="s">
        <v>850</v>
      </c>
      <c r="C289" s="13" t="s">
        <v>851</v>
      </c>
      <c r="D289" s="14" t="s">
        <v>852</v>
      </c>
      <c r="E289" s="13" t="s">
        <v>836</v>
      </c>
      <c r="F289" s="15" t="s">
        <v>9</v>
      </c>
      <c r="G289" s="14" t="s">
        <v>853</v>
      </c>
    </row>
    <row r="290" customFormat="false" ht="15" hidden="false" customHeight="false" outlineLevel="0" collapsed="false">
      <c r="A290" s="13" t="n">
        <v>289</v>
      </c>
      <c r="B290" s="13" t="s">
        <v>850</v>
      </c>
      <c r="C290" s="13" t="s">
        <v>854</v>
      </c>
      <c r="D290" s="14" t="s">
        <v>855</v>
      </c>
      <c r="E290" s="13" t="s">
        <v>836</v>
      </c>
      <c r="F290" s="15" t="s">
        <v>9</v>
      </c>
      <c r="G290" s="14" t="s">
        <v>856</v>
      </c>
    </row>
    <row r="291" customFormat="false" ht="15" hidden="false" customHeight="false" outlineLevel="0" collapsed="false">
      <c r="A291" s="13" t="n">
        <v>290</v>
      </c>
      <c r="B291" s="13" t="s">
        <v>850</v>
      </c>
      <c r="C291" s="13" t="s">
        <v>857</v>
      </c>
      <c r="D291" s="14" t="s">
        <v>858</v>
      </c>
      <c r="E291" s="13" t="s">
        <v>836</v>
      </c>
      <c r="F291" s="15" t="s">
        <v>9</v>
      </c>
      <c r="G291" s="14" t="s">
        <v>859</v>
      </c>
    </row>
    <row r="292" customFormat="false" ht="15" hidden="false" customHeight="false" outlineLevel="0" collapsed="false">
      <c r="A292" s="13" t="n">
        <v>291</v>
      </c>
      <c r="B292" s="13" t="s">
        <v>860</v>
      </c>
      <c r="C292" s="13" t="s">
        <v>861</v>
      </c>
      <c r="D292" s="14" t="s">
        <v>862</v>
      </c>
      <c r="E292" s="13" t="s">
        <v>836</v>
      </c>
      <c r="F292" s="15" t="s">
        <v>9</v>
      </c>
      <c r="G292" s="14" t="s">
        <v>863</v>
      </c>
    </row>
    <row r="293" customFormat="false" ht="15" hidden="false" customHeight="false" outlineLevel="0" collapsed="false">
      <c r="A293" s="13" t="n">
        <v>292</v>
      </c>
      <c r="B293" s="13" t="s">
        <v>860</v>
      </c>
      <c r="C293" s="13" t="s">
        <v>864</v>
      </c>
      <c r="D293" s="14" t="s">
        <v>865</v>
      </c>
      <c r="E293" s="13" t="s">
        <v>836</v>
      </c>
      <c r="F293" s="15" t="s">
        <v>9</v>
      </c>
      <c r="G293" s="14" t="s">
        <v>863</v>
      </c>
    </row>
    <row r="294" customFormat="false" ht="15" hidden="false" customHeight="false" outlineLevel="0" collapsed="false">
      <c r="A294" s="13" t="n">
        <v>293</v>
      </c>
      <c r="B294" s="13" t="s">
        <v>866</v>
      </c>
      <c r="C294" s="13" t="s">
        <v>25</v>
      </c>
      <c r="D294" s="14" t="s">
        <v>26</v>
      </c>
      <c r="E294" s="13" t="s">
        <v>845</v>
      </c>
      <c r="F294" s="16" t="s">
        <v>11</v>
      </c>
      <c r="G294" s="14" t="s">
        <v>867</v>
      </c>
    </row>
    <row r="295" customFormat="false" ht="23.85" hidden="false" customHeight="false" outlineLevel="0" collapsed="false">
      <c r="A295" s="13" t="n">
        <v>294</v>
      </c>
      <c r="B295" s="13" t="s">
        <v>866</v>
      </c>
      <c r="C295" s="13" t="s">
        <v>27</v>
      </c>
      <c r="D295" s="14" t="s">
        <v>28</v>
      </c>
      <c r="E295" s="13" t="s">
        <v>845</v>
      </c>
      <c r="F295" s="16" t="s">
        <v>11</v>
      </c>
      <c r="G295" s="14" t="s">
        <v>868</v>
      </c>
    </row>
    <row r="296" customFormat="false" ht="23.85" hidden="false" customHeight="false" outlineLevel="0" collapsed="false">
      <c r="A296" s="13" t="n">
        <v>295</v>
      </c>
      <c r="B296" s="13" t="s">
        <v>866</v>
      </c>
      <c r="C296" s="13" t="s">
        <v>29</v>
      </c>
      <c r="D296" s="14" t="s">
        <v>30</v>
      </c>
      <c r="E296" s="13" t="s">
        <v>836</v>
      </c>
      <c r="F296" s="16" t="s">
        <v>11</v>
      </c>
      <c r="G296" s="14" t="s">
        <v>869</v>
      </c>
    </row>
    <row r="297" customFormat="false" ht="23.85" hidden="false" customHeight="false" outlineLevel="0" collapsed="false">
      <c r="A297" s="13" t="n">
        <v>296</v>
      </c>
      <c r="B297" s="13" t="s">
        <v>866</v>
      </c>
      <c r="C297" s="13" t="s">
        <v>31</v>
      </c>
      <c r="D297" s="14" t="s">
        <v>32</v>
      </c>
      <c r="E297" s="13" t="s">
        <v>870</v>
      </c>
      <c r="F297" s="16" t="s">
        <v>11</v>
      </c>
      <c r="G297" s="14" t="s">
        <v>871</v>
      </c>
    </row>
    <row r="298" customFormat="false" ht="15" hidden="false" customHeight="false" outlineLevel="0" collapsed="false">
      <c r="A298" s="13" t="n">
        <v>297</v>
      </c>
      <c r="B298" s="13" t="s">
        <v>872</v>
      </c>
      <c r="C298" s="13" t="s">
        <v>873</v>
      </c>
      <c r="D298" s="14" t="s">
        <v>874</v>
      </c>
      <c r="E298" s="13" t="s">
        <v>836</v>
      </c>
      <c r="F298" s="15" t="s">
        <v>9</v>
      </c>
      <c r="G298" s="14" t="s">
        <v>875</v>
      </c>
    </row>
    <row r="299" customFormat="false" ht="35.05" hidden="false" customHeight="false" outlineLevel="0" collapsed="false">
      <c r="A299" s="13" t="n">
        <v>298</v>
      </c>
      <c r="B299" s="13" t="s">
        <v>876</v>
      </c>
      <c r="C299" s="13" t="s">
        <v>877</v>
      </c>
      <c r="D299" s="14" t="s">
        <v>878</v>
      </c>
      <c r="E299" s="13" t="s">
        <v>51</v>
      </c>
      <c r="F299" s="15" t="s">
        <v>9</v>
      </c>
      <c r="G299" s="14" t="s">
        <v>879</v>
      </c>
    </row>
    <row r="300" customFormat="false" ht="35.05" hidden="false" customHeight="false" outlineLevel="0" collapsed="false">
      <c r="A300" s="13" t="n">
        <v>299</v>
      </c>
      <c r="B300" s="13" t="s">
        <v>876</v>
      </c>
      <c r="C300" s="13" t="s">
        <v>880</v>
      </c>
      <c r="D300" s="14" t="s">
        <v>881</v>
      </c>
      <c r="E300" s="13" t="s">
        <v>51</v>
      </c>
      <c r="F300" s="15" t="s">
        <v>9</v>
      </c>
      <c r="G300" s="14" t="s">
        <v>882</v>
      </c>
    </row>
    <row r="301" customFormat="false" ht="46.25" hidden="false" customHeight="false" outlineLevel="0" collapsed="false">
      <c r="A301" s="13" t="n">
        <v>300</v>
      </c>
      <c r="B301" s="13" t="s">
        <v>876</v>
      </c>
      <c r="C301" s="13" t="s">
        <v>883</v>
      </c>
      <c r="D301" s="14" t="s">
        <v>884</v>
      </c>
      <c r="E301" s="13" t="s">
        <v>51</v>
      </c>
      <c r="F301" s="15" t="s">
        <v>9</v>
      </c>
      <c r="G301" s="14" t="s">
        <v>885</v>
      </c>
    </row>
    <row r="302" customFormat="false" ht="46.25" hidden="false" customHeight="false" outlineLevel="0" collapsed="false">
      <c r="A302" s="13" t="n">
        <v>301</v>
      </c>
      <c r="B302" s="13" t="s">
        <v>876</v>
      </c>
      <c r="C302" s="13" t="s">
        <v>886</v>
      </c>
      <c r="D302" s="14" t="s">
        <v>887</v>
      </c>
      <c r="E302" s="13" t="s">
        <v>51</v>
      </c>
      <c r="F302" s="15" t="s">
        <v>9</v>
      </c>
      <c r="G302" s="14" t="s">
        <v>888</v>
      </c>
    </row>
    <row r="303" customFormat="false" ht="57.45" hidden="false" customHeight="false" outlineLevel="0" collapsed="false">
      <c r="A303" s="13" t="n">
        <v>302</v>
      </c>
      <c r="B303" s="13" t="s">
        <v>876</v>
      </c>
      <c r="C303" s="13" t="s">
        <v>889</v>
      </c>
      <c r="D303" s="14" t="s">
        <v>890</v>
      </c>
      <c r="E303" s="13" t="s">
        <v>51</v>
      </c>
      <c r="F303" s="15" t="s">
        <v>9</v>
      </c>
      <c r="G303" s="14" t="s">
        <v>891</v>
      </c>
    </row>
    <row r="304" customFormat="false" ht="23.85" hidden="false" customHeight="false" outlineLevel="0" collapsed="false">
      <c r="A304" s="13" t="n">
        <v>303</v>
      </c>
      <c r="B304" s="13" t="s">
        <v>876</v>
      </c>
      <c r="C304" s="13" t="s">
        <v>892</v>
      </c>
      <c r="D304" s="14" t="s">
        <v>893</v>
      </c>
      <c r="E304" s="13" t="s">
        <v>51</v>
      </c>
      <c r="F304" s="15" t="s">
        <v>9</v>
      </c>
      <c r="G304" s="14" t="s">
        <v>894</v>
      </c>
    </row>
    <row r="305" customFormat="false" ht="46.25" hidden="false" customHeight="false" outlineLevel="0" collapsed="false">
      <c r="A305" s="13" t="n">
        <v>304</v>
      </c>
      <c r="B305" s="13" t="s">
        <v>876</v>
      </c>
      <c r="C305" s="13" t="s">
        <v>33</v>
      </c>
      <c r="D305" s="14" t="s">
        <v>34</v>
      </c>
      <c r="E305" s="13" t="s">
        <v>51</v>
      </c>
      <c r="F305" s="17" t="s">
        <v>12</v>
      </c>
      <c r="G305" s="14" t="s">
        <v>895</v>
      </c>
    </row>
    <row r="306" customFormat="false" ht="102.2" hidden="false" customHeight="false" outlineLevel="0" collapsed="false">
      <c r="A306" s="13" t="n">
        <v>305</v>
      </c>
      <c r="B306" s="13" t="s">
        <v>876</v>
      </c>
      <c r="C306" s="13" t="s">
        <v>896</v>
      </c>
      <c r="D306" s="14" t="s">
        <v>897</v>
      </c>
      <c r="E306" s="13" t="s">
        <v>51</v>
      </c>
      <c r="F306" s="15" t="s">
        <v>9</v>
      </c>
      <c r="G306" s="14" t="s">
        <v>898</v>
      </c>
    </row>
    <row r="307" customFormat="false" ht="46.25" hidden="false" customHeight="false" outlineLevel="0" collapsed="false">
      <c r="A307" s="13" t="n">
        <v>306</v>
      </c>
      <c r="B307" s="13" t="s">
        <v>899</v>
      </c>
      <c r="C307" s="13" t="s">
        <v>900</v>
      </c>
      <c r="D307" s="14" t="s">
        <v>901</v>
      </c>
      <c r="E307" s="13" t="s">
        <v>51</v>
      </c>
      <c r="F307" s="15" t="s">
        <v>9</v>
      </c>
      <c r="G307" s="14" t="s">
        <v>902</v>
      </c>
    </row>
    <row r="308" customFormat="false" ht="23.85" hidden="false" customHeight="false" outlineLevel="0" collapsed="false">
      <c r="A308" s="13" t="n">
        <v>307</v>
      </c>
      <c r="B308" s="13" t="s">
        <v>899</v>
      </c>
      <c r="C308" s="13" t="s">
        <v>35</v>
      </c>
      <c r="D308" s="14" t="s">
        <v>36</v>
      </c>
      <c r="E308" s="13" t="s">
        <v>51</v>
      </c>
      <c r="F308" s="18" t="s">
        <v>15</v>
      </c>
      <c r="G308" s="14"/>
    </row>
    <row r="309" customFormat="false" ht="23.85" hidden="false" customHeight="false" outlineLevel="0" collapsed="false">
      <c r="A309" s="13" t="n">
        <v>308</v>
      </c>
      <c r="B309" s="13" t="s">
        <v>899</v>
      </c>
      <c r="C309" s="13" t="s">
        <v>37</v>
      </c>
      <c r="D309" s="14" t="s">
        <v>38</v>
      </c>
      <c r="E309" s="13" t="s">
        <v>51</v>
      </c>
      <c r="F309" s="18" t="s">
        <v>15</v>
      </c>
      <c r="G309" s="14"/>
    </row>
    <row r="310" customFormat="false" ht="15" hidden="false" customHeight="false" outlineLevel="0" collapsed="false">
      <c r="A310" s="13" t="n">
        <v>309</v>
      </c>
      <c r="B310" s="13" t="s">
        <v>899</v>
      </c>
      <c r="C310" s="13" t="s">
        <v>39</v>
      </c>
      <c r="D310" s="14" t="s">
        <v>40</v>
      </c>
      <c r="E310" s="13" t="s">
        <v>51</v>
      </c>
      <c r="F310" s="18" t="s">
        <v>15</v>
      </c>
      <c r="G310" s="14"/>
    </row>
    <row r="311" customFormat="false" ht="15" hidden="false" customHeight="false" outlineLevel="0" collapsed="false">
      <c r="A311" s="13" t="n">
        <v>310</v>
      </c>
      <c r="B311" s="13" t="s">
        <v>903</v>
      </c>
      <c r="C311" s="13" t="s">
        <v>904</v>
      </c>
      <c r="D311" s="14" t="s">
        <v>905</v>
      </c>
      <c r="E311" s="13" t="s">
        <v>51</v>
      </c>
      <c r="F311" s="15" t="s">
        <v>9</v>
      </c>
      <c r="G311" s="14" t="s">
        <v>906</v>
      </c>
    </row>
    <row r="312" customFormat="false" ht="15" hidden="false" customHeight="false" outlineLevel="0" collapsed="false">
      <c r="A312" s="13" t="n">
        <v>311</v>
      </c>
      <c r="B312" s="13" t="s">
        <v>903</v>
      </c>
      <c r="C312" s="13" t="s">
        <v>907</v>
      </c>
      <c r="D312" s="14" t="s">
        <v>908</v>
      </c>
      <c r="E312" s="13" t="s">
        <v>51</v>
      </c>
      <c r="F312" s="15" t="s">
        <v>9</v>
      </c>
      <c r="G312" s="14" t="s">
        <v>906</v>
      </c>
    </row>
    <row r="313" customFormat="false" ht="15" hidden="false" customHeight="false" outlineLevel="0" collapsed="false">
      <c r="A313" s="13" t="n">
        <v>312</v>
      </c>
      <c r="B313" s="13" t="s">
        <v>903</v>
      </c>
      <c r="C313" s="13" t="s">
        <v>909</v>
      </c>
      <c r="D313" s="14" t="s">
        <v>910</v>
      </c>
      <c r="E313" s="13" t="s">
        <v>51</v>
      </c>
      <c r="F313" s="15" t="s">
        <v>9</v>
      </c>
      <c r="G313" s="14" t="s">
        <v>911</v>
      </c>
    </row>
    <row r="314" customFormat="false" ht="15" hidden="false" customHeight="false" outlineLevel="0" collapsed="false">
      <c r="A314" s="13" t="n">
        <v>313</v>
      </c>
      <c r="B314" s="13" t="s">
        <v>903</v>
      </c>
      <c r="C314" s="13" t="s">
        <v>912</v>
      </c>
      <c r="D314" s="14" t="s">
        <v>913</v>
      </c>
      <c r="E314" s="13" t="s">
        <v>51</v>
      </c>
      <c r="F314" s="15" t="s">
        <v>9</v>
      </c>
      <c r="G314" s="14" t="s">
        <v>914</v>
      </c>
    </row>
    <row r="315" customFormat="false" ht="15" hidden="false" customHeight="false" outlineLevel="0" collapsed="false">
      <c r="A315" s="13" t="n">
        <v>314</v>
      </c>
      <c r="B315" s="13" t="s">
        <v>915</v>
      </c>
      <c r="C315" s="13" t="s">
        <v>916</v>
      </c>
      <c r="D315" s="14"/>
      <c r="E315" s="13"/>
      <c r="F315" s="15" t="s">
        <v>9</v>
      </c>
      <c r="G315" s="14" t="s">
        <v>917</v>
      </c>
    </row>
    <row r="316" customFormat="false" ht="15" hidden="false" customHeight="false" outlineLevel="0" collapsed="false">
      <c r="A316" s="13" t="n">
        <v>315</v>
      </c>
      <c r="B316" s="13" t="s">
        <v>915</v>
      </c>
      <c r="C316" s="13" t="s">
        <v>918</v>
      </c>
      <c r="D316" s="14"/>
      <c r="E316" s="13"/>
      <c r="F316" s="15" t="s">
        <v>9</v>
      </c>
      <c r="G316" s="14" t="s">
        <v>917</v>
      </c>
    </row>
  </sheetData>
  <autoFilter ref="A1:G3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919</v>
      </c>
    </row>
    <row r="3" customFormat="false" ht="15" hidden="false" customHeight="false" outlineLevel="0" collapsed="false">
      <c r="A3" s="12" t="s">
        <v>920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921</v>
      </c>
    </row>
    <row r="4" customFormat="false" ht="23.85" hidden="false" customHeight="false" outlineLevel="0" collapsed="false">
      <c r="A4" s="13" t="s">
        <v>922</v>
      </c>
      <c r="B4" s="13" t="s">
        <v>25</v>
      </c>
      <c r="C4" s="14" t="s">
        <v>26</v>
      </c>
      <c r="D4" s="13" t="s">
        <v>845</v>
      </c>
      <c r="E4" s="16" t="s">
        <v>11</v>
      </c>
      <c r="F4" s="14" t="s">
        <v>923</v>
      </c>
    </row>
    <row r="5" customFormat="false" ht="23.85" hidden="false" customHeight="false" outlineLevel="0" collapsed="false">
      <c r="A5" s="13" t="s">
        <v>922</v>
      </c>
      <c r="B5" s="13" t="s">
        <v>27</v>
      </c>
      <c r="C5" s="14" t="s">
        <v>28</v>
      </c>
      <c r="D5" s="13" t="s">
        <v>845</v>
      </c>
      <c r="E5" s="16" t="s">
        <v>11</v>
      </c>
      <c r="F5" s="14" t="s">
        <v>923</v>
      </c>
    </row>
    <row r="6" customFormat="false" ht="23.85" hidden="false" customHeight="false" outlineLevel="0" collapsed="false">
      <c r="A6" s="13" t="s">
        <v>922</v>
      </c>
      <c r="B6" s="13" t="s">
        <v>29</v>
      </c>
      <c r="C6" s="14" t="s">
        <v>30</v>
      </c>
      <c r="D6" s="13" t="s">
        <v>836</v>
      </c>
      <c r="E6" s="16" t="s">
        <v>11</v>
      </c>
      <c r="F6" s="14" t="s">
        <v>923</v>
      </c>
    </row>
    <row r="7" customFormat="false" ht="23.85" hidden="false" customHeight="false" outlineLevel="0" collapsed="false">
      <c r="A7" s="13" t="s">
        <v>922</v>
      </c>
      <c r="B7" s="13" t="s">
        <v>31</v>
      </c>
      <c r="C7" s="14" t="s">
        <v>32</v>
      </c>
      <c r="D7" s="13" t="s">
        <v>870</v>
      </c>
      <c r="E7" s="16" t="s">
        <v>11</v>
      </c>
      <c r="F7" s="14" t="s">
        <v>923</v>
      </c>
    </row>
    <row r="8" customFormat="false" ht="23.85" hidden="false" customHeight="false" outlineLevel="0" collapsed="false">
      <c r="A8" s="13" t="s">
        <v>922</v>
      </c>
      <c r="B8" s="13" t="s">
        <v>33</v>
      </c>
      <c r="C8" s="14" t="s">
        <v>34</v>
      </c>
      <c r="D8" s="13" t="s">
        <v>51</v>
      </c>
      <c r="E8" s="17" t="s">
        <v>12</v>
      </c>
      <c r="F8" s="14" t="s">
        <v>923</v>
      </c>
    </row>
    <row r="9" customFormat="false" ht="23.85" hidden="false" customHeight="false" outlineLevel="0" collapsed="false">
      <c r="A9" s="13" t="s">
        <v>922</v>
      </c>
      <c r="B9" s="13" t="s">
        <v>35</v>
      </c>
      <c r="C9" s="14" t="s">
        <v>36</v>
      </c>
      <c r="D9" s="13" t="s">
        <v>51</v>
      </c>
      <c r="E9" s="18" t="s">
        <v>15</v>
      </c>
      <c r="F9" s="14" t="s">
        <v>923</v>
      </c>
    </row>
    <row r="10" customFormat="false" ht="23.85" hidden="false" customHeight="false" outlineLevel="0" collapsed="false">
      <c r="A10" s="13" t="s">
        <v>922</v>
      </c>
      <c r="B10" s="13" t="s">
        <v>37</v>
      </c>
      <c r="C10" s="14" t="s">
        <v>38</v>
      </c>
      <c r="D10" s="13" t="s">
        <v>51</v>
      </c>
      <c r="E10" s="18" t="s">
        <v>15</v>
      </c>
      <c r="F10" s="14" t="s">
        <v>923</v>
      </c>
    </row>
    <row r="11" customFormat="false" ht="23.85" hidden="false" customHeight="false" outlineLevel="0" collapsed="false">
      <c r="A11" s="13" t="s">
        <v>922</v>
      </c>
      <c r="B11" s="13" t="s">
        <v>39</v>
      </c>
      <c r="C11" s="14" t="s">
        <v>40</v>
      </c>
      <c r="D11" s="13" t="s">
        <v>51</v>
      </c>
      <c r="E11" s="18" t="s">
        <v>15</v>
      </c>
      <c r="F11" s="14" t="s">
        <v>923</v>
      </c>
    </row>
    <row r="12" customFormat="false" ht="15" hidden="false" customHeight="false" outlineLevel="0" collapsed="false">
      <c r="A12" s="13" t="s">
        <v>924</v>
      </c>
      <c r="B12" s="13" t="s">
        <v>925</v>
      </c>
      <c r="C12" s="14" t="s">
        <v>926</v>
      </c>
      <c r="D12" s="13" t="s">
        <v>51</v>
      </c>
      <c r="E12" s="19" t="s">
        <v>23</v>
      </c>
      <c r="F12" s="14" t="s">
        <v>927</v>
      </c>
    </row>
    <row r="13" customFormat="false" ht="15" hidden="false" customHeight="false" outlineLevel="0" collapsed="false">
      <c r="A13" s="13" t="s">
        <v>924</v>
      </c>
      <c r="B13" s="13" t="s">
        <v>928</v>
      </c>
      <c r="C13" s="14" t="s">
        <v>929</v>
      </c>
      <c r="D13" s="13" t="s">
        <v>51</v>
      </c>
      <c r="E13" s="19" t="s">
        <v>23</v>
      </c>
      <c r="F13" s="14" t="s">
        <v>930</v>
      </c>
    </row>
    <row r="14" customFormat="false" ht="15" hidden="false" customHeight="false" outlineLevel="0" collapsed="false">
      <c r="A14" s="13" t="s">
        <v>931</v>
      </c>
      <c r="B14" s="13" t="s">
        <v>932</v>
      </c>
      <c r="C14" s="14" t="s">
        <v>933</v>
      </c>
      <c r="D14" s="13" t="s">
        <v>51</v>
      </c>
      <c r="E14" s="20" t="s">
        <v>18</v>
      </c>
      <c r="F14" s="14" t="s">
        <v>934</v>
      </c>
    </row>
    <row r="15" customFormat="false" ht="15" hidden="false" customHeight="false" outlineLevel="0" collapsed="false">
      <c r="A15" s="13" t="s">
        <v>931</v>
      </c>
      <c r="B15" s="13" t="s">
        <v>935</v>
      </c>
      <c r="C15" s="14" t="s">
        <v>936</v>
      </c>
      <c r="D15" s="13" t="s">
        <v>51</v>
      </c>
      <c r="E15" s="20" t="s">
        <v>18</v>
      </c>
      <c r="F15" s="14" t="s">
        <v>937</v>
      </c>
    </row>
    <row r="16" customFormat="false" ht="15" hidden="false" customHeight="false" outlineLevel="0" collapsed="false">
      <c r="A16" s="13" t="s">
        <v>931</v>
      </c>
      <c r="B16" s="13" t="s">
        <v>938</v>
      </c>
      <c r="C16" s="14" t="s">
        <v>939</v>
      </c>
      <c r="D16" s="13" t="s">
        <v>51</v>
      </c>
      <c r="E16" s="20" t="s">
        <v>18</v>
      </c>
      <c r="F16" s="14" t="s">
        <v>940</v>
      </c>
    </row>
    <row r="17" customFormat="false" ht="15" hidden="false" customHeight="false" outlineLevel="0" collapsed="false">
      <c r="A17" s="13" t="s">
        <v>941</v>
      </c>
      <c r="B17" s="13" t="s">
        <v>942</v>
      </c>
      <c r="C17" s="14" t="s">
        <v>943</v>
      </c>
      <c r="D17" s="13" t="s">
        <v>77</v>
      </c>
      <c r="E17" s="21" t="s">
        <v>944</v>
      </c>
      <c r="F17" s="14" t="s">
        <v>945</v>
      </c>
    </row>
    <row r="18" customFormat="false" ht="15" hidden="false" customHeight="false" outlineLevel="0" collapsed="false">
      <c r="A18" s="13" t="s">
        <v>941</v>
      </c>
      <c r="B18" s="13" t="s">
        <v>946</v>
      </c>
      <c r="C18" s="14" t="s">
        <v>947</v>
      </c>
      <c r="D18" s="13" t="s">
        <v>77</v>
      </c>
      <c r="E18" s="21" t="s">
        <v>944</v>
      </c>
      <c r="F18" s="14" t="s">
        <v>948</v>
      </c>
    </row>
    <row r="19" customFormat="false" ht="15" hidden="false" customHeight="false" outlineLevel="0" collapsed="false">
      <c r="A19" s="13" t="s">
        <v>949</v>
      </c>
      <c r="B19" s="13" t="s">
        <v>950</v>
      </c>
      <c r="C19" s="14" t="s">
        <v>951</v>
      </c>
      <c r="D19" s="13" t="s">
        <v>77</v>
      </c>
      <c r="E19" s="19" t="s">
        <v>23</v>
      </c>
      <c r="F19" s="14" t="s">
        <v>952</v>
      </c>
    </row>
    <row r="20" customFormat="false" ht="15" hidden="false" customHeight="false" outlineLevel="0" collapsed="false">
      <c r="A20" s="13" t="s">
        <v>949</v>
      </c>
      <c r="B20" s="13" t="s">
        <v>953</v>
      </c>
      <c r="C20" s="14" t="s">
        <v>954</v>
      </c>
      <c r="D20" s="13" t="s">
        <v>77</v>
      </c>
      <c r="E20" s="21" t="s">
        <v>955</v>
      </c>
      <c r="F20" s="14" t="s">
        <v>956</v>
      </c>
    </row>
    <row r="21" customFormat="false" ht="15" hidden="false" customHeight="false" outlineLevel="0" collapsed="false">
      <c r="A21" s="13" t="s">
        <v>949</v>
      </c>
      <c r="B21" s="13" t="s">
        <v>957</v>
      </c>
      <c r="C21" s="14" t="s">
        <v>958</v>
      </c>
      <c r="D21" s="13" t="s">
        <v>77</v>
      </c>
      <c r="E21" s="19" t="s">
        <v>23</v>
      </c>
      <c r="F21" s="14" t="s">
        <v>959</v>
      </c>
    </row>
    <row r="22" customFormat="false" ht="15" hidden="false" customHeight="false" outlineLevel="0" collapsed="false">
      <c r="A22" s="13" t="s">
        <v>949</v>
      </c>
      <c r="B22" s="13" t="s">
        <v>960</v>
      </c>
      <c r="C22" s="14" t="s">
        <v>961</v>
      </c>
      <c r="D22" s="13" t="s">
        <v>77</v>
      </c>
      <c r="E22" s="21" t="s">
        <v>955</v>
      </c>
      <c r="F22" s="14" t="s">
        <v>962</v>
      </c>
    </row>
    <row r="23" customFormat="false" ht="15" hidden="false" customHeight="false" outlineLevel="0" collapsed="false">
      <c r="A23" s="13" t="s">
        <v>963</v>
      </c>
      <c r="B23" s="13" t="s">
        <v>964</v>
      </c>
      <c r="C23" s="14" t="s">
        <v>965</v>
      </c>
      <c r="D23" s="13" t="s">
        <v>108</v>
      </c>
      <c r="E23" s="19" t="s">
        <v>23</v>
      </c>
      <c r="F23" s="14" t="s">
        <v>966</v>
      </c>
    </row>
    <row r="24" customFormat="false" ht="15" hidden="false" customHeight="false" outlineLevel="0" collapsed="false">
      <c r="A24" s="13" t="s">
        <v>967</v>
      </c>
      <c r="B24" s="13" t="s">
        <v>968</v>
      </c>
      <c r="C24" s="14" t="s">
        <v>969</v>
      </c>
      <c r="D24" s="13" t="s">
        <v>51</v>
      </c>
      <c r="E24" s="19" t="s">
        <v>23</v>
      </c>
      <c r="F24" s="14" t="s">
        <v>970</v>
      </c>
    </row>
    <row r="25" customFormat="false" ht="15" hidden="false" customHeight="false" outlineLevel="0" collapsed="false">
      <c r="A25" s="13" t="s">
        <v>971</v>
      </c>
      <c r="B25" s="13" t="s">
        <v>972</v>
      </c>
      <c r="C25" s="14" t="s">
        <v>973</v>
      </c>
      <c r="D25" s="13" t="s">
        <v>51</v>
      </c>
      <c r="E25" s="19" t="s">
        <v>23</v>
      </c>
      <c r="F25" s="14" t="s">
        <v>974</v>
      </c>
    </row>
    <row r="26" customFormat="false" ht="15" hidden="false" customHeight="false" outlineLevel="0" collapsed="false">
      <c r="A26" s="13" t="s">
        <v>975</v>
      </c>
      <c r="B26" s="13" t="s">
        <v>976</v>
      </c>
      <c r="C26" s="14" t="s">
        <v>977</v>
      </c>
      <c r="D26" s="13" t="s">
        <v>51</v>
      </c>
      <c r="E26" s="19" t="s">
        <v>23</v>
      </c>
      <c r="F26" s="14"/>
    </row>
    <row r="27" customFormat="false" ht="15" hidden="false" customHeight="false" outlineLevel="0" collapsed="false">
      <c r="A27" s="13" t="s">
        <v>978</v>
      </c>
      <c r="B27" s="13" t="s">
        <v>979</v>
      </c>
      <c r="C27" s="14" t="s">
        <v>980</v>
      </c>
      <c r="D27" s="13" t="s">
        <v>51</v>
      </c>
      <c r="E27" s="19" t="s">
        <v>23</v>
      </c>
      <c r="F27" s="14" t="s">
        <v>981</v>
      </c>
    </row>
    <row r="28" customFormat="false" ht="15" hidden="false" customHeight="false" outlineLevel="0" collapsed="false">
      <c r="A28" s="13" t="s">
        <v>982</v>
      </c>
      <c r="B28" s="13" t="s">
        <v>983</v>
      </c>
      <c r="C28" s="14" t="s">
        <v>984</v>
      </c>
      <c r="D28" s="13" t="s">
        <v>51</v>
      </c>
      <c r="E28" s="19" t="s">
        <v>23</v>
      </c>
      <c r="F28" s="14" t="s">
        <v>985</v>
      </c>
    </row>
    <row r="29" customFormat="false" ht="15" hidden="false" customHeight="false" outlineLevel="0" collapsed="false">
      <c r="A29" s="13" t="s">
        <v>986</v>
      </c>
      <c r="B29" s="13" t="s">
        <v>987</v>
      </c>
      <c r="C29" s="14" t="s">
        <v>988</v>
      </c>
      <c r="D29" s="13" t="s">
        <v>77</v>
      </c>
      <c r="E29" s="19" t="s">
        <v>23</v>
      </c>
      <c r="F29" s="14"/>
    </row>
    <row r="30" customFormat="false" ht="15" hidden="false" customHeight="false" outlineLevel="0" collapsed="false">
      <c r="A30" s="13" t="s">
        <v>989</v>
      </c>
      <c r="B30" s="13" t="s">
        <v>990</v>
      </c>
      <c r="C30" s="14" t="s">
        <v>991</v>
      </c>
      <c r="D30" s="13" t="s">
        <v>77</v>
      </c>
      <c r="E30" s="19" t="s">
        <v>23</v>
      </c>
      <c r="F30" s="14"/>
    </row>
    <row r="31" customFormat="false" ht="15" hidden="false" customHeight="false" outlineLevel="0" collapsed="false">
      <c r="A31" s="13" t="s">
        <v>992</v>
      </c>
      <c r="B31" s="13" t="s">
        <v>993</v>
      </c>
      <c r="C31" s="14" t="s">
        <v>994</v>
      </c>
      <c r="D31" s="13" t="s">
        <v>51</v>
      </c>
      <c r="E31" s="19" t="s">
        <v>23</v>
      </c>
      <c r="F31" s="14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2026-06-26T02:52:45Z</dcterms:created>
  <dc:creator>openpyxl</dc:creator>
  <dc:description/>
  <dc:language>en-US</dc:language>
  <cp:lastModifiedBy/>
  <dcterms:modified xsi:type="dcterms:W3CDTF">2026-06-26T02:52:45Z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